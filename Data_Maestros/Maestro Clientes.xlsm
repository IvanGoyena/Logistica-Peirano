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62422B58-97B8-443C-9F0D-53A12027EDE6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Clientes'!$A$1:$N$1190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P305" i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<sst xmlns="http://schemas.openxmlformats.org/spreadsheetml/2006/main" count="14903" uniqueCount="5533">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</sst>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190" tableType="queryTable" totalsRowShown="0">
  <autoFilter ref="A1:Q1190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190"/>
  <sheetViews>
    <sheetView tabSelected="1" topLeftCell="A904" zoomScaleNormal="100" workbookViewId="0">
      <selection activeCell="A924" sqref="A924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3125</v>
      </c>
      <c r="P67" s="2" t="str">
        <f>+VLOOKUP(Maestro_Clientes[[#This Row],[Entrega]],Preparacion!A:B,2,0)</f>
        <v>MARTES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3155</v>
      </c>
      <c r="P356" s="2" t="str">
        <f>+VLOOKUP(Maestro_Clientes[[#This Row],[Entrega]],Preparacion!A:B,2,0)</f>
        <v>con turno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2" t="s">
        <v>5519</v>
      </c>
      <c r="B1188" s="2" t="s">
        <v>149</v>
      </c>
      <c r="C1188" s="2" t="s">
        <v>150</v>
      </c>
      <c r="E1188" s="2" t="s">
        <v>5520</v>
      </c>
      <c r="H1188" s="2" t="s">
        <v>5521</v>
      </c>
      <c r="I1188" s="2" t="s">
        <v>2373</v>
      </c>
      <c r="K1188" s="2" t="s">
        <v>126</v>
      </c>
      <c r="L1188" s="2" t="s">
        <v>5476</v>
      </c>
      <c r="M1188" s="2" t="s">
        <v>2706</v>
      </c>
      <c r="N1188" s="2" t="s">
        <v>2706</v>
      </c>
      <c r="O1188" s="2" t="s">
        <v>3009</v>
      </c>
      <c r="P1188" s="2" t="s">
        <v>3009</v>
      </c>
      <c r="Q1188" s="2" t="s">
        <v>5522</v>
      </c>
    </row>
    <row r="1189" spans="1:17" x14ac:dyDescent="0.25">
      <c r="A1189" s="4" t="s">
        <v>5523</v>
      </c>
      <c r="B1189" s="4" t="s">
        <v>5524</v>
      </c>
      <c r="C1189" s="4" t="s">
        <v>5525</v>
      </c>
      <c r="D1189" s="4"/>
      <c r="E1189" s="4" t="s">
        <v>5526</v>
      </c>
      <c r="G1189" s="4"/>
      <c r="H1189" s="4" t="s">
        <v>229</v>
      </c>
      <c r="I1189" s="4" t="s">
        <v>126</v>
      </c>
      <c r="J1189" s="4"/>
      <c r="K1189" s="4" t="s">
        <v>126</v>
      </c>
      <c r="L1189" s="4" t="s">
        <v>5476</v>
      </c>
      <c r="M1189" s="4" t="s">
        <v>2706</v>
      </c>
      <c r="N1189" s="4" t="s">
        <v>2706</v>
      </c>
      <c r="O1189" s="4" t="s">
        <v>3009</v>
      </c>
      <c r="P1189" s="4" t="s">
        <v>3009</v>
      </c>
      <c r="Q1189" s="4" t="s">
        <v>5527</v>
      </c>
    </row>
    <row r="1190" spans="1:17" x14ac:dyDescent="0.25">
      <c r="A1190" s="4" t="s">
        <v>5528</v>
      </c>
      <c r="B1190" s="4" t="s">
        <v>604</v>
      </c>
      <c r="C1190" s="4" t="s">
        <v>605</v>
      </c>
      <c r="D1190" s="4"/>
      <c r="E1190" s="4" t="s">
        <v>5529</v>
      </c>
      <c r="G1190" s="4"/>
      <c r="H1190" s="4" t="s">
        <v>5530</v>
      </c>
      <c r="I1190" s="4" t="s">
        <v>5531</v>
      </c>
      <c r="J1190" s="4"/>
      <c r="K1190" s="4" t="s">
        <v>126</v>
      </c>
      <c r="L1190" s="4" t="s">
        <v>5476</v>
      </c>
      <c r="M1190" s="4" t="s">
        <v>2706</v>
      </c>
      <c r="N1190" s="4" t="s">
        <v>2706</v>
      </c>
      <c r="O1190" s="4" t="s">
        <v>3009</v>
      </c>
      <c r="P1190" s="4" t="s">
        <v>3009</v>
      </c>
      <c r="Q1190" s="4" t="s">
        <v>5532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2026-08-13T09:53:20Z</dcterms:modified>
</cp:coreProperties>
</file>