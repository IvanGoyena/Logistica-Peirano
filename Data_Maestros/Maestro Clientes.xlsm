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66393FD0-3A32-4D51-827D-89B95991B785}" xr6:coauthVersionLast="47" xr6:coauthVersionMax="47" xr10:uidLastSave="{00000000-0000-0000-0000-000000000000}"/>
  <bookViews>
    <workbookView xWindow="30930" yWindow="10005" windowWidth="15000" windowHeight="6195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Clientes'!$A$1:$N$1248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5" i="1" l="1"/>
  <c r="P1188" i="1"/>
  <c r="P1187" i="1"/>
  <c r="P1183" i="1"/>
  <c r="P1176" i="1"/>
  <c r="P1175" i="1"/>
  <c r="P1174" i="1"/>
  <c r="P1173" i="1"/>
  <c r="P1172" i="1"/>
  <c r="P1171" i="1"/>
  <c r="P1170" i="1"/>
  <c r="P1169" i="1"/>
  <c r="P1168" i="1"/>
  <c r="P1167" i="1"/>
  <c r="P1166" i="1"/>
  <c r="P422" i="1"/>
  <c r="P1165" i="1"/>
  <c r="P1164" i="1"/>
  <c r="P579" i="1"/>
  <c r="P329" i="1"/>
  <c r="P1163" i="1"/>
  <c r="P1019" i="1"/>
  <c r="P1162" i="1"/>
  <c r="P1161" i="1"/>
  <c r="P1018" i="1"/>
  <c r="P1160" i="1"/>
  <c r="P1159" i="1"/>
  <c r="P1158" i="1"/>
  <c r="P1157" i="1" l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88" i="1"/>
  <c r="P1143" i="1" l="1"/>
  <c r="P1142" i="1"/>
  <c r="P1141" i="1"/>
  <c r="P1140" i="1"/>
  <c r="P1139" i="1"/>
  <c r="P1138" i="1"/>
  <c r="P1137" i="1"/>
  <c r="P1136" i="1"/>
  <c r="P1135" i="1"/>
  <c r="P1134" i="1"/>
  <c r="P1133" i="1" l="1"/>
  <c r="P1132" i="1"/>
  <c r="P1131" i="1"/>
  <c r="P483" i="1"/>
  <c r="P246" i="1"/>
  <c r="P525" i="1"/>
  <c r="P502" i="1"/>
  <c r="P481" i="1"/>
  <c r="P482" i="1"/>
  <c r="P484" i="1"/>
  <c r="P485" i="1"/>
  <c r="P1130" i="1"/>
  <c r="P1129" i="1"/>
  <c r="P1128" i="1"/>
  <c r="P1127" i="1"/>
  <c r="P1126" i="1"/>
  <c r="P933" i="1"/>
  <c r="P1125" i="1"/>
  <c r="P1124" i="1"/>
  <c r="P1123" i="1"/>
  <c r="P1122" i="1"/>
  <c r="P1121" i="1"/>
  <c r="P1120" i="1"/>
  <c r="P1119" i="1"/>
  <c r="P1118" i="1"/>
  <c r="P1117" i="1"/>
  <c r="P618" i="1"/>
  <c r="P619" i="1"/>
  <c r="P595" i="1"/>
  <c r="P1116" i="1"/>
  <c r="P1115" i="1"/>
  <c r="P617" i="1"/>
  <c r="P1114" i="1"/>
  <c r="P616" i="1"/>
  <c r="P1113" i="1"/>
  <c r="P1112" i="1"/>
  <c r="P1001" i="1"/>
  <c r="P1111" i="1"/>
  <c r="P1110" i="1"/>
  <c r="P1109" i="1"/>
  <c r="P1108" i="1"/>
  <c r="P1107" i="1"/>
  <c r="P1106" i="1"/>
  <c r="P855" i="1"/>
  <c r="P1105" i="1"/>
  <c r="P1104" i="1"/>
  <c r="P1103" i="1"/>
  <c r="P615" i="1"/>
  <c r="P750" i="1"/>
  <c r="P370" i="1"/>
  <c r="P439" i="1"/>
  <c r="P1009" i="1"/>
  <c r="P623" i="1"/>
  <c r="P880" i="1"/>
  <c r="P225" i="1" l="1"/>
  <c r="P1055" i="1"/>
  <c r="P124" i="1"/>
  <c r="P614" i="1"/>
  <c r="P600" i="1"/>
  <c r="P1026" i="1"/>
  <c r="P1063" i="1"/>
  <c r="P187" i="1"/>
  <c r="P757" i="1"/>
  <c r="P567" i="1"/>
  <c r="P38" i="1"/>
  <c r="P613" i="1"/>
  <c r="P1032" i="1"/>
  <c r="P41" i="1"/>
  <c r="P811" i="1"/>
  <c r="P548" i="1"/>
  <c r="P1008" i="1"/>
  <c r="P73" i="1"/>
  <c r="P743" i="1"/>
  <c r="P891" i="1"/>
  <c r="P302" i="1"/>
  <c r="P952" i="1"/>
  <c r="P39" i="1"/>
  <c r="P61" i="1"/>
  <c r="P612" i="1"/>
  <c r="P267" i="1"/>
  <c r="P539" i="1"/>
  <c r="P69" i="1"/>
  <c r="P81" i="1"/>
  <c r="P437" i="1"/>
  <c r="P873" i="1"/>
  <c r="P243" i="1" l="1"/>
  <c r="P204" i="1"/>
  <c r="P458" i="1"/>
  <c r="P31" i="1"/>
  <c r="P689" i="1"/>
  <c r="P36" i="1"/>
  <c r="P926" i="1"/>
  <c r="P783" i="1"/>
  <c r="P845" i="1"/>
  <c r="P693" i="1"/>
  <c r="P232" i="1"/>
  <c r="P268" i="1"/>
  <c r="P266" i="1"/>
  <c r="P263" i="1"/>
  <c r="P259" i="1"/>
  <c r="P258" i="1"/>
  <c r="P256" i="1"/>
  <c r="P255" i="1"/>
  <c r="P252" i="1"/>
  <c r="P250" i="1"/>
  <c r="O249" i="1"/>
  <c r="P249" i="1" s="1"/>
  <c r="P294" i="1"/>
  <c r="O311" i="1"/>
  <c r="P311" i="1" s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1" i="1"/>
  <c r="P301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3" i="1"/>
  <c r="P293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79" i="1"/>
  <c r="P279" i="1" s="1"/>
  <c r="P151" i="1"/>
  <c r="P688" i="1"/>
  <c r="P610" i="1"/>
  <c r="P684" i="1"/>
  <c r="P526" i="1"/>
  <c r="P611" i="1"/>
  <c r="P49" i="1"/>
  <c r="P231" i="1"/>
  <c r="P379" i="1"/>
  <c r="P823" i="1"/>
  <c r="P644" i="1"/>
  <c r="P687" i="1"/>
  <c r="P556" i="1"/>
  <c r="P434" i="1"/>
  <c r="P941" i="1"/>
  <c r="P773" i="1"/>
  <c r="P327" i="1"/>
  <c r="P840" i="1"/>
  <c r="P939" i="1"/>
  <c r="P1079" i="1"/>
  <c r="P609" i="1"/>
  <c r="P583" i="1"/>
  <c r="P356" i="1"/>
  <c r="P898" i="1"/>
  <c r="P938" i="1"/>
  <c r="P1030" i="1"/>
  <c r="P535" i="1"/>
  <c r="P748" i="1"/>
  <c r="P713" i="1"/>
  <c r="P278" i="1"/>
  <c r="P277" i="1"/>
  <c r="P276" i="1"/>
  <c r="P275" i="1"/>
  <c r="P841" i="1"/>
  <c r="P928" i="1"/>
  <c r="P228" i="1"/>
  <c r="P737" i="1"/>
  <c r="P159" i="1"/>
  <c r="P447" i="1"/>
  <c r="P834" i="1"/>
  <c r="P843" i="1"/>
  <c r="P216" i="1"/>
  <c r="P884" i="1"/>
  <c r="P692" i="1"/>
  <c r="P148" i="1"/>
  <c r="P990" i="1"/>
  <c r="P790" i="1"/>
  <c r="O596" i="1"/>
  <c r="P596" i="1" s="1"/>
  <c r="P691" i="1"/>
  <c r="P407" i="1"/>
  <c r="P376" i="1"/>
  <c r="P1073" i="1"/>
  <c r="P649" i="1"/>
  <c r="P135" i="1"/>
  <c r="P916" i="1"/>
  <c r="O637" i="1"/>
  <c r="P637" i="1" s="1"/>
  <c r="P636" i="1"/>
  <c r="P714" i="1"/>
  <c r="P537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7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6" i="1"/>
  <c r="P766" i="1" s="1"/>
  <c r="P48" i="1"/>
  <c r="O50" i="1"/>
  <c r="P50" i="1" s="1"/>
  <c r="O51" i="1"/>
  <c r="P51" i="1" s="1"/>
  <c r="O52" i="1"/>
  <c r="P52" i="1" s="1"/>
  <c r="P375" i="1"/>
  <c r="P54" i="1"/>
  <c r="P55" i="1"/>
  <c r="O56" i="1"/>
  <c r="P56" i="1" s="1"/>
  <c r="O888" i="1"/>
  <c r="P888" i="1" s="1"/>
  <c r="O58" i="1"/>
  <c r="P58" i="1" s="1"/>
  <c r="O59" i="1"/>
  <c r="P59" i="1" s="1"/>
  <c r="P150" i="1"/>
  <c r="O62" i="1"/>
  <c r="P62" i="1" s="1"/>
  <c r="O747" i="1"/>
  <c r="P747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4" i="1"/>
  <c r="P674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9" i="1"/>
  <c r="P749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9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5" i="1"/>
  <c r="O142" i="1"/>
  <c r="P142" i="1" s="1"/>
  <c r="O143" i="1"/>
  <c r="P143" i="1" s="1"/>
  <c r="P144" i="1"/>
  <c r="O145" i="1"/>
  <c r="P145" i="1" s="1"/>
  <c r="O146" i="1"/>
  <c r="P146" i="1" s="1"/>
  <c r="P147" i="1"/>
  <c r="O650" i="1"/>
  <c r="P650" i="1" s="1"/>
  <c r="O656" i="1"/>
  <c r="P656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1000" i="1"/>
  <c r="P1000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7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70" i="1"/>
  <c r="P570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6" i="1"/>
  <c r="P676" i="1" s="1"/>
  <c r="O223" i="1"/>
  <c r="P223" i="1" s="1"/>
  <c r="O872" i="1"/>
  <c r="P872" i="1" s="1"/>
  <c r="P226" i="1"/>
  <c r="O227" i="1"/>
  <c r="P227" i="1" s="1"/>
  <c r="O229" i="1"/>
  <c r="P229" i="1" s="1"/>
  <c r="O230" i="1"/>
  <c r="P230" i="1" s="1"/>
  <c r="O233" i="1"/>
  <c r="P233" i="1" s="1"/>
  <c r="O236" i="1"/>
  <c r="P236" i="1" s="1"/>
  <c r="O237" i="1"/>
  <c r="P237" i="1" s="1"/>
  <c r="O980" i="1"/>
  <c r="P980" i="1" s="1"/>
  <c r="O776" i="1"/>
  <c r="P776" i="1" s="1"/>
  <c r="O240" i="1"/>
  <c r="P240" i="1" s="1"/>
  <c r="O241" i="1"/>
  <c r="P241" i="1" s="1"/>
  <c r="O242" i="1"/>
  <c r="P242" i="1" s="1"/>
  <c r="O244" i="1"/>
  <c r="P244" i="1" s="1"/>
  <c r="O245" i="1"/>
  <c r="P245" i="1" s="1"/>
  <c r="O927" i="1"/>
  <c r="P927" i="1" s="1"/>
  <c r="O247" i="1"/>
  <c r="P247" i="1" s="1"/>
  <c r="O248" i="1"/>
  <c r="P248" i="1" s="1"/>
  <c r="P251" i="1"/>
  <c r="P253" i="1"/>
  <c r="P254" i="1"/>
  <c r="P260" i="1"/>
  <c r="P261" i="1"/>
  <c r="P262" i="1"/>
  <c r="P264" i="1"/>
  <c r="P265" i="1"/>
  <c r="P269" i="1"/>
  <c r="P270" i="1"/>
  <c r="P271" i="1"/>
  <c r="P272" i="1"/>
  <c r="P273" i="1"/>
  <c r="P274" i="1"/>
  <c r="O280" i="1"/>
  <c r="P280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8" i="1"/>
  <c r="P328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P402" i="1"/>
  <c r="O338" i="1"/>
  <c r="P338" i="1" s="1"/>
  <c r="P339" i="1"/>
  <c r="O340" i="1"/>
  <c r="P340" i="1" s="1"/>
  <c r="O341" i="1"/>
  <c r="P341" i="1" s="1"/>
  <c r="O342" i="1"/>
  <c r="P342" i="1" s="1"/>
  <c r="O343" i="1"/>
  <c r="P343" i="1" s="1"/>
  <c r="P344" i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P351" i="1"/>
  <c r="O352" i="1"/>
  <c r="P352" i="1" s="1"/>
  <c r="O353" i="1"/>
  <c r="P353" i="1" s="1"/>
  <c r="O354" i="1"/>
  <c r="P354" i="1" s="1"/>
  <c r="O355" i="1"/>
  <c r="P355" i="1" s="1"/>
  <c r="P357" i="1"/>
  <c r="O358" i="1"/>
  <c r="P358" i="1" s="1"/>
  <c r="O359" i="1"/>
  <c r="P359" i="1" s="1"/>
  <c r="O360" i="1"/>
  <c r="P360" i="1" s="1"/>
  <c r="P361" i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P978" i="1"/>
  <c r="O371" i="1"/>
  <c r="P371" i="1" s="1"/>
  <c r="O372" i="1"/>
  <c r="P372" i="1" s="1"/>
  <c r="O373" i="1"/>
  <c r="P373" i="1" s="1"/>
  <c r="P374" i="1"/>
  <c r="O571" i="1"/>
  <c r="P571" i="1" s="1"/>
  <c r="O377" i="1"/>
  <c r="P377" i="1" s="1"/>
  <c r="O378" i="1"/>
  <c r="P378" i="1" s="1"/>
  <c r="O380" i="1"/>
  <c r="P380" i="1" s="1"/>
  <c r="O381" i="1"/>
  <c r="P381" i="1" s="1"/>
  <c r="O383" i="1"/>
  <c r="P383" i="1" s="1"/>
  <c r="O384" i="1"/>
  <c r="P384" i="1" s="1"/>
  <c r="O385" i="1"/>
  <c r="P385" i="1" s="1"/>
  <c r="O386" i="1"/>
  <c r="P386" i="1" s="1"/>
  <c r="P387" i="1"/>
  <c r="O388" i="1"/>
  <c r="P388" i="1" s="1"/>
  <c r="O389" i="1"/>
  <c r="P389" i="1" s="1"/>
  <c r="O390" i="1"/>
  <c r="P390" i="1" s="1"/>
  <c r="P391" i="1"/>
  <c r="P392" i="1"/>
  <c r="P393" i="1"/>
  <c r="P394" i="1"/>
  <c r="O395" i="1"/>
  <c r="P395" i="1" s="1"/>
  <c r="P396" i="1"/>
  <c r="O1023" i="1"/>
  <c r="P1023" i="1" s="1"/>
  <c r="O398" i="1"/>
  <c r="P398" i="1" s="1"/>
  <c r="P399" i="1"/>
  <c r="O400" i="1"/>
  <c r="P400" i="1" s="1"/>
  <c r="O401" i="1"/>
  <c r="P401" i="1" s="1"/>
  <c r="O574" i="1"/>
  <c r="P574" i="1" s="1"/>
  <c r="O403" i="1"/>
  <c r="P403" i="1" s="1"/>
  <c r="P404" i="1"/>
  <c r="O405" i="1"/>
  <c r="P405" i="1" s="1"/>
  <c r="O406" i="1"/>
  <c r="P406" i="1" s="1"/>
  <c r="P239" i="1"/>
  <c r="O409" i="1"/>
  <c r="P409" i="1" s="1"/>
  <c r="O410" i="1"/>
  <c r="P410" i="1" s="1"/>
  <c r="O1092" i="1"/>
  <c r="P1092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3" i="1"/>
  <c r="P423" i="1" s="1"/>
  <c r="O424" i="1"/>
  <c r="P424" i="1" s="1"/>
  <c r="O425" i="1"/>
  <c r="P425" i="1" s="1"/>
  <c r="P408" i="1"/>
  <c r="P427" i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5" i="1"/>
  <c r="P435" i="1" s="1"/>
  <c r="O436" i="1"/>
  <c r="P436" i="1" s="1"/>
  <c r="P438" i="1"/>
  <c r="O440" i="1"/>
  <c r="P440" i="1" s="1"/>
  <c r="O441" i="1"/>
  <c r="P441" i="1" s="1"/>
  <c r="O442" i="1"/>
  <c r="P442" i="1" s="1"/>
  <c r="O443" i="1"/>
  <c r="P443" i="1" s="1"/>
  <c r="O444" i="1"/>
  <c r="P444" i="1" s="1"/>
  <c r="P445" i="1"/>
  <c r="P446" i="1"/>
  <c r="O448" i="1"/>
  <c r="P448" i="1" s="1"/>
  <c r="O449" i="1"/>
  <c r="P449" i="1" s="1"/>
  <c r="O450" i="1"/>
  <c r="P450" i="1" s="1"/>
  <c r="O451" i="1"/>
  <c r="P451" i="1" s="1"/>
  <c r="P452" i="1"/>
  <c r="P453" i="1"/>
  <c r="P454" i="1"/>
  <c r="P455" i="1"/>
  <c r="O456" i="1"/>
  <c r="P456" i="1" s="1"/>
  <c r="P457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O475" i="1"/>
  <c r="P475" i="1" s="1"/>
  <c r="O476" i="1"/>
  <c r="P476" i="1" s="1"/>
  <c r="P477" i="1"/>
  <c r="O478" i="1"/>
  <c r="P478" i="1" s="1"/>
  <c r="O479" i="1"/>
  <c r="P479" i="1" s="1"/>
  <c r="O480" i="1"/>
  <c r="P480" i="1" s="1"/>
  <c r="O780" i="1"/>
  <c r="P780" i="1" s="1"/>
  <c r="O929" i="1"/>
  <c r="P929" i="1" s="1"/>
  <c r="O488" i="1"/>
  <c r="P488" i="1" s="1"/>
  <c r="O489" i="1"/>
  <c r="P489" i="1" s="1"/>
  <c r="P490" i="1"/>
  <c r="P491" i="1"/>
  <c r="P492" i="1"/>
  <c r="O493" i="1"/>
  <c r="P493" i="1" s="1"/>
  <c r="O494" i="1"/>
  <c r="P494" i="1" s="1"/>
  <c r="O495" i="1"/>
  <c r="P495" i="1" s="1"/>
  <c r="O496" i="1"/>
  <c r="P496" i="1" s="1"/>
  <c r="P497" i="1"/>
  <c r="O498" i="1"/>
  <c r="P498" i="1" s="1"/>
  <c r="P149" i="1"/>
  <c r="O501" i="1"/>
  <c r="P501" i="1" s="1"/>
  <c r="O800" i="1"/>
  <c r="P800" i="1" s="1"/>
  <c r="O1082" i="1"/>
  <c r="P1082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4" i="1"/>
  <c r="P524" i="1" s="1"/>
  <c r="O527" i="1"/>
  <c r="P527" i="1" s="1"/>
  <c r="O528" i="1"/>
  <c r="P528" i="1" s="1"/>
  <c r="O529" i="1"/>
  <c r="P529" i="1" s="1"/>
  <c r="O530" i="1"/>
  <c r="P530" i="1" s="1"/>
  <c r="P531" i="1"/>
  <c r="O532" i="1"/>
  <c r="P532" i="1" s="1"/>
  <c r="O533" i="1"/>
  <c r="P533" i="1" s="1"/>
  <c r="O63" i="1"/>
  <c r="P63" i="1" s="1"/>
  <c r="O536" i="1"/>
  <c r="P536" i="1" s="1"/>
  <c r="O538" i="1"/>
  <c r="P538" i="1" s="1"/>
  <c r="O540" i="1"/>
  <c r="P540" i="1" s="1"/>
  <c r="O541" i="1"/>
  <c r="P541" i="1" s="1"/>
  <c r="O542" i="1"/>
  <c r="P542" i="1" s="1"/>
  <c r="P543" i="1"/>
  <c r="O544" i="1"/>
  <c r="P544" i="1" s="1"/>
  <c r="O545" i="1"/>
  <c r="P545" i="1" s="1"/>
  <c r="O546" i="1"/>
  <c r="P546" i="1" s="1"/>
  <c r="O547" i="1"/>
  <c r="P547" i="1" s="1"/>
  <c r="O549" i="1"/>
  <c r="P549" i="1" s="1"/>
  <c r="P550" i="1"/>
  <c r="P551" i="1"/>
  <c r="O552" i="1"/>
  <c r="P552" i="1" s="1"/>
  <c r="O553" i="1"/>
  <c r="P553" i="1" s="1"/>
  <c r="P411" i="1"/>
  <c r="P555" i="1"/>
  <c r="O557" i="1"/>
  <c r="P557" i="1" s="1"/>
  <c r="O558" i="1"/>
  <c r="P558" i="1" s="1"/>
  <c r="O559" i="1"/>
  <c r="P559" i="1" s="1"/>
  <c r="O560" i="1"/>
  <c r="P560" i="1" s="1"/>
  <c r="O562" i="1"/>
  <c r="P562" i="1" s="1"/>
  <c r="O563" i="1"/>
  <c r="P563" i="1" s="1"/>
  <c r="O564" i="1"/>
  <c r="P564" i="1" s="1"/>
  <c r="O565" i="1"/>
  <c r="P565" i="1" s="1"/>
  <c r="O566" i="1"/>
  <c r="P566" i="1" s="1"/>
  <c r="O568" i="1"/>
  <c r="P568" i="1" s="1"/>
  <c r="O569" i="1"/>
  <c r="P569" i="1" s="1"/>
  <c r="O585" i="1"/>
  <c r="P585" i="1" s="1"/>
  <c r="P976" i="1"/>
  <c r="O572" i="1"/>
  <c r="P572" i="1" s="1"/>
  <c r="O573" i="1"/>
  <c r="P573" i="1" s="1"/>
  <c r="O79" i="1"/>
  <c r="P79" i="1" s="1"/>
  <c r="O575" i="1"/>
  <c r="P575" i="1" s="1"/>
  <c r="O576" i="1"/>
  <c r="P576" i="1" s="1"/>
  <c r="P577" i="1"/>
  <c r="O578" i="1"/>
  <c r="P578" i="1" s="1"/>
  <c r="O580" i="1"/>
  <c r="P580" i="1" s="1"/>
  <c r="O581" i="1"/>
  <c r="P581" i="1" s="1"/>
  <c r="O582" i="1"/>
  <c r="P582" i="1" s="1"/>
  <c r="O584" i="1"/>
  <c r="P584" i="1" s="1"/>
  <c r="P534" i="1"/>
  <c r="O848" i="1"/>
  <c r="P848" i="1" s="1"/>
  <c r="O587" i="1"/>
  <c r="P587" i="1" s="1"/>
  <c r="P588" i="1"/>
  <c r="O589" i="1"/>
  <c r="P589" i="1" s="1"/>
  <c r="O590" i="1"/>
  <c r="P590" i="1" s="1"/>
  <c r="O591" i="1"/>
  <c r="P591" i="1" s="1"/>
  <c r="O592" i="1"/>
  <c r="P592" i="1" s="1"/>
  <c r="O593" i="1"/>
  <c r="P593" i="1" s="1"/>
  <c r="O594" i="1"/>
  <c r="P594" i="1" s="1"/>
  <c r="O597" i="1"/>
  <c r="P597" i="1" s="1"/>
  <c r="O598" i="1"/>
  <c r="P598" i="1" s="1"/>
  <c r="O599" i="1"/>
  <c r="P599" i="1" s="1"/>
  <c r="O601" i="1"/>
  <c r="P601" i="1" s="1"/>
  <c r="O603" i="1"/>
  <c r="P603" i="1" s="1"/>
  <c r="O604" i="1"/>
  <c r="P604" i="1" s="1"/>
  <c r="O605" i="1"/>
  <c r="P605" i="1" s="1"/>
  <c r="P606" i="1"/>
  <c r="P607" i="1"/>
  <c r="O620" i="1"/>
  <c r="P620" i="1" s="1"/>
  <c r="O621" i="1"/>
  <c r="P621" i="1" s="1"/>
  <c r="O622" i="1"/>
  <c r="P622" i="1" s="1"/>
  <c r="O624" i="1"/>
  <c r="P624" i="1" s="1"/>
  <c r="O625" i="1"/>
  <c r="P625" i="1" s="1"/>
  <c r="O626" i="1"/>
  <c r="P626" i="1" s="1"/>
  <c r="O627" i="1"/>
  <c r="P627" i="1" s="1"/>
  <c r="P628" i="1"/>
  <c r="O629" i="1"/>
  <c r="P629" i="1" s="1"/>
  <c r="O804" i="1"/>
  <c r="P804" i="1" s="1"/>
  <c r="O631" i="1"/>
  <c r="P631" i="1" s="1"/>
  <c r="O632" i="1"/>
  <c r="P632" i="1" s="1"/>
  <c r="O633" i="1"/>
  <c r="P633" i="1" s="1"/>
  <c r="O634" i="1"/>
  <c r="P634" i="1" s="1"/>
  <c r="P635" i="1"/>
  <c r="P638" i="1"/>
  <c r="O639" i="1"/>
  <c r="P639" i="1" s="1"/>
  <c r="O640" i="1"/>
  <c r="P640" i="1" s="1"/>
  <c r="O641" i="1"/>
  <c r="P641" i="1" s="1"/>
  <c r="O642" i="1"/>
  <c r="P642" i="1" s="1"/>
  <c r="O643" i="1"/>
  <c r="P643" i="1" s="1"/>
  <c r="P645" i="1"/>
  <c r="O646" i="1"/>
  <c r="P646" i="1" s="1"/>
  <c r="O647" i="1"/>
  <c r="P647" i="1" s="1"/>
  <c r="O648" i="1"/>
  <c r="P648" i="1" s="1"/>
  <c r="O981" i="1"/>
  <c r="P981" i="1" s="1"/>
  <c r="P996" i="1"/>
  <c r="O652" i="1"/>
  <c r="P652" i="1" s="1"/>
  <c r="P653" i="1"/>
  <c r="O654" i="1"/>
  <c r="P654" i="1" s="1"/>
  <c r="O655" i="1"/>
  <c r="P655" i="1" s="1"/>
  <c r="O1028" i="1"/>
  <c r="P1028" i="1" s="1"/>
  <c r="O657" i="1"/>
  <c r="P657" i="1" s="1"/>
  <c r="P190" i="1"/>
  <c r="O1031" i="1"/>
  <c r="P1031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673" i="1"/>
  <c r="P673" i="1" s="1"/>
  <c r="O80" i="1"/>
  <c r="P80" i="1" s="1"/>
  <c r="O675" i="1"/>
  <c r="P675" i="1" s="1"/>
  <c r="O764" i="1"/>
  <c r="P764" i="1" s="1"/>
  <c r="O677" i="1"/>
  <c r="P677" i="1" s="1"/>
  <c r="O678" i="1"/>
  <c r="P678" i="1" s="1"/>
  <c r="P207" i="1"/>
  <c r="O680" i="1"/>
  <c r="P680" i="1" s="1"/>
  <c r="O681" i="1"/>
  <c r="P681" i="1" s="1"/>
  <c r="O682" i="1"/>
  <c r="P682" i="1" s="1"/>
  <c r="O683" i="1"/>
  <c r="P683" i="1" s="1"/>
  <c r="O685" i="1"/>
  <c r="P685" i="1" s="1"/>
  <c r="O659" i="1"/>
  <c r="P659" i="1" s="1"/>
  <c r="O690" i="1"/>
  <c r="P690" i="1" s="1"/>
  <c r="O694" i="1"/>
  <c r="P694" i="1" s="1"/>
  <c r="P695" i="1"/>
  <c r="O696" i="1"/>
  <c r="P696" i="1" s="1"/>
  <c r="O697" i="1"/>
  <c r="P697" i="1" s="1"/>
  <c r="O698" i="1"/>
  <c r="P698" i="1" s="1"/>
  <c r="P214" i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2" i="1"/>
  <c r="P712" i="1" s="1"/>
  <c r="O715" i="1"/>
  <c r="P715" i="1" s="1"/>
  <c r="P716" i="1"/>
  <c r="O717" i="1"/>
  <c r="P717" i="1" s="1"/>
  <c r="O964" i="1"/>
  <c r="P964" i="1" s="1"/>
  <c r="O719" i="1"/>
  <c r="P719" i="1" s="1"/>
  <c r="O720" i="1"/>
  <c r="P720" i="1" s="1"/>
  <c r="O721" i="1"/>
  <c r="P721" i="1" s="1"/>
  <c r="P238" i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O731" i="1"/>
  <c r="P731" i="1" s="1"/>
  <c r="P732" i="1"/>
  <c r="O733" i="1"/>
  <c r="P733" i="1" s="1"/>
  <c r="O734" i="1"/>
  <c r="P734" i="1" s="1"/>
  <c r="O735" i="1"/>
  <c r="P735" i="1" s="1"/>
  <c r="P736" i="1"/>
  <c r="O738" i="1"/>
  <c r="P738" i="1" s="1"/>
  <c r="O739" i="1"/>
  <c r="P739" i="1" s="1"/>
  <c r="O679" i="1"/>
  <c r="P679" i="1" s="1"/>
  <c r="O741" i="1"/>
  <c r="P741" i="1" s="1"/>
  <c r="O742" i="1"/>
  <c r="P742" i="1" s="1"/>
  <c r="O1038" i="1"/>
  <c r="P1038" i="1" s="1"/>
  <c r="O745" i="1"/>
  <c r="P745" i="1" s="1"/>
  <c r="O1044" i="1"/>
  <c r="P1044" i="1" s="1"/>
  <c r="P1045" i="1"/>
  <c r="O951" i="1"/>
  <c r="P951" i="1" s="1"/>
  <c r="O751" i="1"/>
  <c r="P751" i="1" s="1"/>
  <c r="O752" i="1"/>
  <c r="P752" i="1" s="1"/>
  <c r="O753" i="1"/>
  <c r="P753" i="1" s="1"/>
  <c r="O754" i="1"/>
  <c r="P754" i="1" s="1"/>
  <c r="P756" i="1"/>
  <c r="P758" i="1"/>
  <c r="P759" i="1"/>
  <c r="P760" i="1"/>
  <c r="O761" i="1"/>
  <c r="P761" i="1" s="1"/>
  <c r="O762" i="1"/>
  <c r="P762" i="1" s="1"/>
  <c r="O763" i="1"/>
  <c r="P763" i="1" s="1"/>
  <c r="O932" i="1"/>
  <c r="P932" i="1" s="1"/>
  <c r="O765" i="1"/>
  <c r="P765" i="1" s="1"/>
  <c r="O35" i="1"/>
  <c r="P35" i="1" s="1"/>
  <c r="O767" i="1"/>
  <c r="P767" i="1" s="1"/>
  <c r="O768" i="1"/>
  <c r="P768" i="1" s="1"/>
  <c r="O769" i="1"/>
  <c r="P769" i="1" s="1"/>
  <c r="O770" i="1"/>
  <c r="P770" i="1" s="1"/>
  <c r="O771" i="1"/>
  <c r="P771" i="1" s="1"/>
  <c r="O772" i="1"/>
  <c r="P772" i="1" s="1"/>
  <c r="P774" i="1"/>
  <c r="O775" i="1"/>
  <c r="P775" i="1" s="1"/>
  <c r="O810" i="1"/>
  <c r="P810" i="1" s="1"/>
  <c r="O777" i="1"/>
  <c r="P777" i="1" s="1"/>
  <c r="O778" i="1"/>
  <c r="P778" i="1" s="1"/>
  <c r="P779" i="1"/>
  <c r="O47" i="1"/>
  <c r="P47" i="1" s="1"/>
  <c r="O781" i="1"/>
  <c r="P781" i="1" s="1"/>
  <c r="P782" i="1"/>
  <c r="O784" i="1"/>
  <c r="P784" i="1" s="1"/>
  <c r="O785" i="1"/>
  <c r="P785" i="1" s="1"/>
  <c r="O786" i="1"/>
  <c r="P786" i="1" s="1"/>
  <c r="O787" i="1"/>
  <c r="P787" i="1" s="1"/>
  <c r="O788" i="1"/>
  <c r="P788" i="1" s="1"/>
  <c r="O789" i="1"/>
  <c r="P789" i="1" s="1"/>
  <c r="O791" i="1"/>
  <c r="P791" i="1" s="1"/>
  <c r="O792" i="1"/>
  <c r="P792" i="1" s="1"/>
  <c r="P793" i="1"/>
  <c r="O794" i="1"/>
  <c r="P794" i="1" s="1"/>
  <c r="O795" i="1"/>
  <c r="P795" i="1" s="1"/>
  <c r="O796" i="1"/>
  <c r="P796" i="1" s="1"/>
  <c r="O797" i="1"/>
  <c r="P797" i="1" s="1"/>
  <c r="O798" i="1"/>
  <c r="P798" i="1" s="1"/>
  <c r="O799" i="1"/>
  <c r="P799" i="1" s="1"/>
  <c r="P29" i="1"/>
  <c r="O801" i="1"/>
  <c r="P801" i="1" s="1"/>
  <c r="O802" i="1"/>
  <c r="P802" i="1" s="1"/>
  <c r="O803" i="1"/>
  <c r="P803" i="1" s="1"/>
  <c r="P426" i="1"/>
  <c r="O805" i="1"/>
  <c r="P805" i="1" s="1"/>
  <c r="P806" i="1"/>
  <c r="O807" i="1"/>
  <c r="P807" i="1" s="1"/>
  <c r="O808" i="1"/>
  <c r="P808" i="1" s="1"/>
  <c r="O809" i="1"/>
  <c r="P809" i="1" s="1"/>
  <c r="O893" i="1"/>
  <c r="P893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818" i="1"/>
  <c r="P818" i="1" s="1"/>
  <c r="O744" i="1"/>
  <c r="P744" i="1" s="1"/>
  <c r="O820" i="1"/>
  <c r="P820" i="1" s="1"/>
  <c r="O821" i="1"/>
  <c r="P821" i="1" s="1"/>
  <c r="O822" i="1"/>
  <c r="P822" i="1" s="1"/>
  <c r="P824" i="1"/>
  <c r="O825" i="1"/>
  <c r="P825" i="1" s="1"/>
  <c r="O826" i="1"/>
  <c r="P826" i="1" s="1"/>
  <c r="O827" i="1"/>
  <c r="P827" i="1" s="1"/>
  <c r="O828" i="1"/>
  <c r="P828" i="1" s="1"/>
  <c r="O829" i="1"/>
  <c r="P829" i="1" s="1"/>
  <c r="O830" i="1"/>
  <c r="P830" i="1" s="1"/>
  <c r="P831" i="1"/>
  <c r="O832" i="1"/>
  <c r="P832" i="1" s="1"/>
  <c r="O833" i="1"/>
  <c r="P833" i="1" s="1"/>
  <c r="O835" i="1"/>
  <c r="P835" i="1" s="1"/>
  <c r="O836" i="1"/>
  <c r="P836" i="1" s="1"/>
  <c r="O837" i="1"/>
  <c r="P837" i="1" s="1"/>
  <c r="O838" i="1"/>
  <c r="P838" i="1" s="1"/>
  <c r="P839" i="1"/>
  <c r="O842" i="1"/>
  <c r="P842" i="1" s="1"/>
  <c r="O844" i="1"/>
  <c r="P844" i="1" s="1"/>
  <c r="O846" i="1"/>
  <c r="P846" i="1" s="1"/>
  <c r="O847" i="1"/>
  <c r="P847" i="1" s="1"/>
  <c r="O586" i="1"/>
  <c r="P586" i="1" s="1"/>
  <c r="O849" i="1"/>
  <c r="P849" i="1" s="1"/>
  <c r="O850" i="1"/>
  <c r="P850" i="1" s="1"/>
  <c r="O851" i="1"/>
  <c r="P851" i="1" s="1"/>
  <c r="O852" i="1"/>
  <c r="P852" i="1" s="1"/>
  <c r="O853" i="1"/>
  <c r="P853" i="1" s="1"/>
  <c r="O854" i="1"/>
  <c r="P854" i="1" s="1"/>
  <c r="P856" i="1"/>
  <c r="P857" i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O865" i="1"/>
  <c r="P865" i="1" s="1"/>
  <c r="P337" i="1"/>
  <c r="O867" i="1"/>
  <c r="P867" i="1" s="1"/>
  <c r="O868" i="1"/>
  <c r="P868" i="1" s="1"/>
  <c r="P869" i="1"/>
  <c r="O870" i="1"/>
  <c r="P870" i="1" s="1"/>
  <c r="O1068" i="1"/>
  <c r="P1068" i="1" s="1"/>
  <c r="O87" i="1"/>
  <c r="P87" i="1" s="1"/>
  <c r="P874" i="1"/>
  <c r="O875" i="1"/>
  <c r="P875" i="1" s="1"/>
  <c r="P876" i="1"/>
  <c r="O877" i="1"/>
  <c r="P877" i="1" s="1"/>
  <c r="O878" i="1"/>
  <c r="P878" i="1" s="1"/>
  <c r="O879" i="1"/>
  <c r="P879" i="1" s="1"/>
  <c r="O881" i="1"/>
  <c r="P881" i="1" s="1"/>
  <c r="O882" i="1"/>
  <c r="P882" i="1" s="1"/>
  <c r="O746" i="1"/>
  <c r="P746" i="1" s="1"/>
  <c r="O885" i="1"/>
  <c r="P885" i="1" s="1"/>
  <c r="O886" i="1"/>
  <c r="P886" i="1" s="1"/>
  <c r="O887" i="1"/>
  <c r="P887" i="1" s="1"/>
  <c r="O896" i="1"/>
  <c r="P896" i="1" s="1"/>
  <c r="O889" i="1"/>
  <c r="P889" i="1" s="1"/>
  <c r="O890" i="1"/>
  <c r="P890" i="1" s="1"/>
  <c r="O892" i="1"/>
  <c r="P892" i="1" s="1"/>
  <c r="O95" i="1"/>
  <c r="P95" i="1" s="1"/>
  <c r="P894" i="1"/>
  <c r="O895" i="1"/>
  <c r="P895" i="1" s="1"/>
  <c r="P222" i="1"/>
  <c r="P897" i="1"/>
  <c r="O899" i="1"/>
  <c r="P899" i="1" s="1"/>
  <c r="O900" i="1"/>
  <c r="P900" i="1" s="1"/>
  <c r="P901" i="1"/>
  <c r="O819" i="1"/>
  <c r="P819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O909" i="1"/>
  <c r="P909" i="1" s="1"/>
  <c r="P910" i="1"/>
  <c r="P911" i="1"/>
  <c r="P912" i="1"/>
  <c r="P913" i="1"/>
  <c r="O914" i="1"/>
  <c r="P914" i="1" s="1"/>
  <c r="O902" i="1"/>
  <c r="P902" i="1" s="1"/>
  <c r="O917" i="1"/>
  <c r="P917" i="1" s="1"/>
  <c r="O918" i="1"/>
  <c r="P918" i="1" s="1"/>
  <c r="O919" i="1"/>
  <c r="P919" i="1" s="1"/>
  <c r="O920" i="1"/>
  <c r="P920" i="1" s="1"/>
  <c r="O921" i="1"/>
  <c r="P921" i="1" s="1"/>
  <c r="O922" i="1"/>
  <c r="P922" i="1" s="1"/>
  <c r="P486" i="1"/>
  <c r="O924" i="1"/>
  <c r="P924" i="1" s="1"/>
  <c r="O940" i="1"/>
  <c r="P940" i="1" s="1"/>
  <c r="O112" i="1"/>
  <c r="P112" i="1" s="1"/>
  <c r="P930" i="1"/>
  <c r="O931" i="1"/>
  <c r="P931" i="1" s="1"/>
  <c r="P487" i="1"/>
  <c r="P934" i="1"/>
  <c r="O935" i="1"/>
  <c r="P935" i="1" s="1"/>
  <c r="P936" i="1"/>
  <c r="O937" i="1"/>
  <c r="P937" i="1" s="1"/>
  <c r="O883" i="1"/>
  <c r="P883" i="1" s="1"/>
  <c r="O942" i="1"/>
  <c r="P942" i="1" s="1"/>
  <c r="O943" i="1"/>
  <c r="P943" i="1" s="1"/>
  <c r="O944" i="1"/>
  <c r="P944" i="1" s="1"/>
  <c r="O945" i="1"/>
  <c r="P945" i="1" s="1"/>
  <c r="O947" i="1"/>
  <c r="P947" i="1" s="1"/>
  <c r="P948" i="1"/>
  <c r="O949" i="1"/>
  <c r="P949" i="1" s="1"/>
  <c r="O950" i="1"/>
  <c r="P950" i="1" s="1"/>
  <c r="O686" i="1"/>
  <c r="P686" i="1" s="1"/>
  <c r="O953" i="1"/>
  <c r="P953" i="1" s="1"/>
  <c r="O954" i="1"/>
  <c r="P954" i="1" s="1"/>
  <c r="O955" i="1"/>
  <c r="P955" i="1" s="1"/>
  <c r="O956" i="1"/>
  <c r="P956" i="1" s="1"/>
  <c r="P957" i="1"/>
  <c r="O958" i="1"/>
  <c r="P958" i="1" s="1"/>
  <c r="O959" i="1"/>
  <c r="P959" i="1" s="1"/>
  <c r="P960" i="1"/>
  <c r="P961" i="1"/>
  <c r="O962" i="1"/>
  <c r="P962" i="1" s="1"/>
  <c r="O963" i="1"/>
  <c r="P963" i="1" s="1"/>
  <c r="O999" i="1"/>
  <c r="P999" i="1" s="1"/>
  <c r="O915" i="1"/>
  <c r="P915" i="1" s="1"/>
  <c r="O966" i="1"/>
  <c r="P966" i="1" s="1"/>
  <c r="O967" i="1"/>
  <c r="P967" i="1" s="1"/>
  <c r="P968" i="1"/>
  <c r="O969" i="1"/>
  <c r="P969" i="1" s="1"/>
  <c r="O970" i="1"/>
  <c r="P970" i="1" s="1"/>
  <c r="P971" i="1"/>
  <c r="P972" i="1"/>
  <c r="O973" i="1"/>
  <c r="P973" i="1" s="1"/>
  <c r="O974" i="1"/>
  <c r="P974" i="1" s="1"/>
  <c r="O975" i="1"/>
  <c r="P975" i="1" s="1"/>
  <c r="O1069" i="1"/>
  <c r="P1069" i="1" s="1"/>
  <c r="O866" i="1"/>
  <c r="P866" i="1" s="1"/>
  <c r="O871" i="1"/>
  <c r="P871" i="1" s="1"/>
  <c r="O979" i="1"/>
  <c r="P979" i="1" s="1"/>
  <c r="O630" i="1"/>
  <c r="P630" i="1" s="1"/>
  <c r="P224" i="1"/>
  <c r="P982" i="1"/>
  <c r="O983" i="1"/>
  <c r="P983" i="1" s="1"/>
  <c r="O984" i="1"/>
  <c r="P984" i="1" s="1"/>
  <c r="P985" i="1"/>
  <c r="O986" i="1"/>
  <c r="P986" i="1" s="1"/>
  <c r="P987" i="1"/>
  <c r="O988" i="1"/>
  <c r="P988" i="1" s="1"/>
  <c r="O989" i="1"/>
  <c r="P989" i="1" s="1"/>
  <c r="P991" i="1"/>
  <c r="P992" i="1"/>
  <c r="O993" i="1"/>
  <c r="P993" i="1" s="1"/>
  <c r="O994" i="1"/>
  <c r="P994" i="1" s="1"/>
  <c r="O995" i="1"/>
  <c r="P995" i="1" s="1"/>
  <c r="P500" i="1"/>
  <c r="P997" i="1"/>
  <c r="O998" i="1"/>
  <c r="P998" i="1" s="1"/>
  <c r="O722" i="1"/>
  <c r="P722" i="1" s="1"/>
  <c r="O658" i="1"/>
  <c r="P658" i="1" s="1"/>
  <c r="O1002" i="1"/>
  <c r="P1002" i="1" s="1"/>
  <c r="P1003" i="1"/>
  <c r="O1004" i="1"/>
  <c r="P1004" i="1" s="1"/>
  <c r="O1005" i="1"/>
  <c r="P1005" i="1" s="1"/>
  <c r="O1006" i="1"/>
  <c r="P1006" i="1" s="1"/>
  <c r="O1007" i="1"/>
  <c r="P1007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O1017" i="1"/>
  <c r="P1017" i="1" s="1"/>
  <c r="P1020" i="1"/>
  <c r="O1021" i="1"/>
  <c r="P1021" i="1" s="1"/>
  <c r="O1022" i="1"/>
  <c r="P1022" i="1" s="1"/>
  <c r="P503" i="1"/>
  <c r="O1024" i="1"/>
  <c r="P1024" i="1" s="1"/>
  <c r="O1025" i="1"/>
  <c r="P1025" i="1" s="1"/>
  <c r="O1027" i="1"/>
  <c r="P1027" i="1" s="1"/>
  <c r="P123" i="1"/>
  <c r="P1029" i="1"/>
  <c r="O1033" i="1"/>
  <c r="P1033" i="1" s="1"/>
  <c r="P1034" i="1"/>
  <c r="O1035" i="1"/>
  <c r="P1035" i="1" s="1"/>
  <c r="O1036" i="1"/>
  <c r="P1036" i="1" s="1"/>
  <c r="O1037" i="1"/>
  <c r="P1037" i="1" s="1"/>
  <c r="O699" i="1"/>
  <c r="P699" i="1" s="1"/>
  <c r="O1039" i="1"/>
  <c r="P1039" i="1" s="1"/>
  <c r="O1040" i="1"/>
  <c r="P1040" i="1" s="1"/>
  <c r="O1041" i="1"/>
  <c r="P1041" i="1" s="1"/>
  <c r="O1042" i="1"/>
  <c r="P1042" i="1" s="1"/>
  <c r="P1043" i="1"/>
  <c r="O554" i="1"/>
  <c r="P554" i="1" s="1"/>
  <c r="O718" i="1"/>
  <c r="P718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O1052" i="1"/>
  <c r="P1052" i="1" s="1"/>
  <c r="P1053" i="1"/>
  <c r="O1054" i="1"/>
  <c r="P1054" i="1" s="1"/>
  <c r="O1056" i="1"/>
  <c r="P1056" i="1" s="1"/>
  <c r="O1057" i="1"/>
  <c r="P1057" i="1" s="1"/>
  <c r="O1058" i="1"/>
  <c r="P1058" i="1" s="1"/>
  <c r="O1059" i="1"/>
  <c r="P1059" i="1" s="1"/>
  <c r="O1060" i="1"/>
  <c r="P1060" i="1" s="1"/>
  <c r="P1061" i="1"/>
  <c r="O1062" i="1"/>
  <c r="P1062" i="1" s="1"/>
  <c r="O1064" i="1"/>
  <c r="P1064" i="1" s="1"/>
  <c r="O1065" i="1"/>
  <c r="P1065" i="1" s="1"/>
  <c r="O1066" i="1"/>
  <c r="P1066" i="1" s="1"/>
  <c r="O1067" i="1"/>
  <c r="P1067" i="1" s="1"/>
  <c r="O740" i="1"/>
  <c r="P740" i="1" s="1"/>
  <c r="O651" i="1"/>
  <c r="P651" i="1" s="1"/>
  <c r="O1070" i="1"/>
  <c r="P1070" i="1" s="1"/>
  <c r="O1071" i="1"/>
  <c r="P1071" i="1" s="1"/>
  <c r="O1072" i="1"/>
  <c r="P1072" i="1" s="1"/>
  <c r="O1074" i="1"/>
  <c r="P1074" i="1" s="1"/>
  <c r="O1075" i="1"/>
  <c r="P1075" i="1" s="1"/>
  <c r="O1076" i="1"/>
  <c r="P1076" i="1" s="1"/>
  <c r="P1077" i="1"/>
  <c r="O1078" i="1"/>
  <c r="P1078" i="1" s="1"/>
  <c r="O1080" i="1"/>
  <c r="P1080" i="1" s="1"/>
  <c r="O1081" i="1"/>
  <c r="P1081" i="1" s="1"/>
  <c r="O923" i="1"/>
  <c r="P923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O1091" i="1"/>
  <c r="P1091" i="1" s="1"/>
  <c r="P504" i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O1100" i="1"/>
  <c r="P1100" i="1" s="1"/>
  <c r="P1101" i="1"/>
  <c r="O1102" i="1"/>
  <c r="P1102" i="1" s="1"/>
  <c r="P186" i="1"/>
  <c r="P946" i="1"/>
  <c r="P561" i="1"/>
  <c r="P382" i="1"/>
  <c r="P167" i="1"/>
  <c r="P197" i="1"/>
  <c r="P139" i="1"/>
  <c r="P499" i="1"/>
  <c r="P25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<sst xmlns="http://schemas.openxmlformats.org/spreadsheetml/2006/main" count="15653" uniqueCount="5802">
  <si>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</si>
  <si>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</si>
  <si>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</si>
  <si>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</si>
  <si>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</si>
  <si>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</si>
  <si>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</si>
  <si>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</si>
  <si>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</si>
  <si>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</si>
  <si>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</si>
  <si>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</si>
  <si>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</si>
  <si>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</si>
  <si>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</si>
  <si>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</si>
  <si>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</si>
  <si>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</si>
  <si>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</si>
  <si>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</si>
  <si>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</si>
  <si>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</si>
  <si>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</si>
  <si>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</si>
  <si>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</si>
  <si>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</si>
  <si>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</si>
  <si>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</si>
  <si>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</si>
  <si>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</si>
  <si>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</si>
  <si>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</si>
  <si>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</si>
  <si>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</si>
  <si>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</si>
  <si>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</si>
  <si>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</si>
  <si>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</si>
  <si>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</si>
  <si>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</si>
  <si>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</si>
  <si>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</si>
  <si>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</si>
  <si>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</si>
  <si>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</si>
  <si>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</si>
  <si>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</si>
  <si>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</si>
  <si>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</si>
  <si>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</si>
  <si>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</si>
  <si>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</si>
  <si>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</si>
  <si>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</si>
  <si>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</si>
  <si>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</si>
  <si>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</si>
  <si>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</si>
  <si>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</si>
  <si>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</si>
  <si>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</si>
  <si>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</si>
  <si>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</si>
  <si>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</si>
  <si>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</si>
  <si>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</si>
  <si>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</si>
  <si>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</si>
  <si>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</si>
  <si>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</si>
  <si>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</si>
  <si>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</si>
  <si>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</si>
  <si>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</si>
  <si>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</si>
  <si>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</si>
  <si>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</si>
  <si>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</si>
  <si>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</si>
  <si>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</si>
  <si>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</si>
  <si>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</si>
  <si>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</si>
  <si>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</si>
  <si>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</si>
  <si>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</si>
  <si>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</si>
  <si>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</si>
  <si>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</si>
  <si>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</si>
  <si>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</si>
  <si>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</si>
  <si>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</si>
  <si>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</si>
  <si>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</si>
  <si>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</si>
  <si>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</si>
  <si>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</si>
  <si>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</si>
  <si>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</si>
  <si>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</si>
  <si>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</si>
  <si>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</si>
  <si>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</si>
  <si>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</si>
  <si>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</si>
  <si>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</si>
  <si>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</si>
  <si>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</si>
  <si>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</si>
  <si>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</si>
  <si>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</si>
  <si>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</si>
  <si>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</si>
  <si>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</si>
  <si>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</si>
  <si>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</si>
  <si>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</si>
  <si>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</si>
  <si>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</si>
  <si>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</si>
  <si>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</si>
  <si>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</si>
  <si>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</si>
  <si>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</si>
  <si>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</si>
  <si>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</si>
  <si>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</si>
  <si>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</si>
  <si>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</si>
  <si>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</si>
  <si>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</si>
  <si>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</si>
  <si>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</si>
  <si>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</si>
  <si>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</si>
  <si>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</si>
  <si>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</si>
  <si>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</si>
  <si>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</si>
  <si>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</si>
  <si>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</si>
  <si>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</si>
  <si>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</si>
  <si>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</si>
  <si>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</si>
  <si>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</si>
  <si>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</si>
  <si>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</si>
  <si>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</si>
  <si>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</si>
  <si>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</si>
  <si>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</si>
  <si>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</si>
  <si>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</si>
  <si>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</si>
  <si>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</si>
  <si>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</si>
  <si>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</si>
  <si>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</si>
  <si>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</si>
  <si>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</si>
  <si>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</si>
  <si>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</si>
  <si>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</si>
  <si>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</si>
  <si>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</si>
  <si>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</si>
  <si>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</si>
  <si>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</si>
  <si>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</si>
  <si>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</si>
  <si>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</si>
  <si>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</si>
  <si>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</si>
  <si>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</si>
  <si>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</si>
  <si>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</si>
  <si>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</si>
  <si>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</si>
  <si>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</si>
  <si>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</si>
  <si>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</si>
  <si>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</si>
  <si>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</si>
  <si>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</si>
  <si>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</si>
  <si>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</si>
  <si>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</si>
  <si>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</si>
  <si>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</si>
  <si>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</si>
  <si>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</si>
  <si>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</si>
  <si>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</si>
  <si>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</si>
  <si>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</si>
  <si>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</si>
  <si>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</si>
  <si>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</si>
  <si>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</si>
  <si>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</si>
  <si>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</si>
  <si>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</si>
  <si>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</si>
  <si>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</si>
  <si>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</si>
  <si>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</si>
  <si>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</si>
  <si>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</si>
  <si>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</si>
  <si>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</si>
  <si>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</si>
  <si>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</si>
  <si>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</si>
  <si>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</si>
  <si>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</si>
  <si>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</si>
  <si>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</si>
  <si>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</si>
  <si>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</si>
  <si>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</si>
  <si>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</si>
  <si>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</si>
  <si>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</si>
  <si>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</si>
  <si>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</si>
  <si>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</si>
  <si>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</si>
  <si>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</si>
  <si>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</si>
  <si>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</si>
  <si>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</si>
  <si>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</si>
  <si>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</si>
  <si>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</si>
  <si>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</si>
  <si>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</si>
  <si>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</si>
  <si>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</si>
  <si>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</si>
  <si>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</si>
  <si>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</si>
  <si>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</si>
  <si>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</si>
  <si>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</si>
  <si>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</si>
  <si>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</si>
  <si>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</si>
  <si>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</si>
  <si>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</si>
  <si>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</si>
  <si>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</si>
  <si>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</si>
  <si>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</si>
  <si>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</si>
  <si>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</si>
  <si>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</si>
  <si>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</si>
  <si>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</si>
  <si>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</si>
  <si>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</si>
  <si>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</si>
  <si>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</si>
  <si>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</si>
  <si>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</si>
  <si>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</si>
  <si>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</si>
  <si>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</si>
  <si>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</si>
  <si>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</si>
  <si>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</si>
  <si>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</si>
  <si>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</si>
  <si>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</si>
  <si>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</si>
  <si>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</si>
  <si>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</si>
  <si>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</si>
  <si>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</si>
  <si>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</si>
  <si>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</si>
  <si>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</si>
  <si>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</si>
  <si>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</si>
  <si>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</si>
  <si>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</si>
  <si>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</si>
  <si>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</si>
  <si>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</si>
  <si>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</si>
  <si>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</si>
  <si>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</si>
  <si>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</si>
  <si>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</si>
  <si>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</si>
  <si>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</si>
  <si>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</si>
  <si>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</si>
  <si>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</si>
  <si>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</si>
  <si>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</si>
  <si>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</si>
  <si>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</si>
  <si>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</si>
  <si>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</si>
  <si>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</si>
  <si>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</si>
  <si>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</si>
  <si>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</si>
  <si>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</si>
  <si>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</si>
  <si>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</si>
  <si>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</si>
  <si>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</si>
  <si>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</si>
  <si>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</si>
  <si>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</si>
  <si>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</si>
  <si>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</si>
  <si>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</si>
  <si>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</si>
  <si>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</si>
  <si>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</si>
  <si>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</si>
  <si>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</si>
  <si>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</si>
  <si>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</si>
  <si>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</si>
  <si>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</si>
  <si>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</si>
  <si>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</si>
  <si>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</si>
  <si>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</si>
  <si>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</si>
  <si>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</si>
  <si>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</si>
  <si>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</si>
  <si>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</si>
  <si>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</si>
  <si>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</si>
  <si>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</si>
  <si>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</si>
  <si>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</si>
  <si>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</si>
  <si>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</si>
  <si>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</si>
  <si>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</si>
  <si>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</si>
  <si>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</si>
  <si>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</si>
  <si>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</si>
  <si>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</si>
  <si>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</si>
  <si>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</si>
  <si>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</si>
  <si>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</si>
  <si>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</si>
  <si>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</si>
  <si>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</si>
  <si>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</si>
  <si>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</si>
  <si>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</si>
  <si>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</si>
  <si>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</si>
  <si>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</si>
  <si>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</si>
  <si>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</si>
  <si>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</si>
  <si>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</si>
  <si>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</si>
  <si>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</si>
  <si>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</si>
  <si>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</si>
  <si>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</si>
  <si>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</si>
  <si>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</si>
  <si>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</si>
  <si>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</si>
  <si>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</si>
  <si>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</si>
  <si>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</si>
  <si>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</si>
  <si>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</si>
  <si>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</si>
  <si>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</si>
  <si>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</si>
  <si>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</si>
  <si>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</si>
  <si>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</si>
  <si>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</si>
  <si>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</si>
  <si>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</si>
  <si>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</si>
  <si>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</si>
  <si>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</si>
  <si>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</si>
  <si>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</si>
  <si>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</si>
  <si>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</si>
  <si>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</si>
  <si>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</si>
  <si>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</si>
  <si>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</si>
  <si>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</si>
  <si>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</si>
  <si>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</si>
  <si>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</si>
  <si>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</si>
  <si>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</si>
  <si>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</si>
  <si>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</si>
  <si>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</si>
  <si>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</si>
  <si>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</si>
  <si>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</si>
  <si>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</si>
  <si>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</si>
  <si>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</si>
  <si>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</si>
  <si>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</si>
  <si>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</si>
  <si>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</si>
  <si>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</si>
  <si>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</si>
  <si>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</si>
  <si>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</si>
  <si>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</si>
  <si>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</si>
  <si>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</si>
  <si>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</si>
  <si>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</si>
  <si>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</si>
  <si>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</si>
  <si>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</si>
  <si>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</si>
  <si>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</si>
  <si>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</si>
  <si>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</si>
  <si>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</si>
  <si>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</si>
  <si>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</si>
  <si>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</si>
  <si>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</si>
  <si>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</si>
  <si>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</si>
  <si>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</si>
  <si>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</si>
  <si>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</si>
  <si>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</si>
  <si>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</si>
  <si>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</si>
  <si>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</si>
  <si>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</si>
  <si>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</si>
  <si>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</si>
  <si>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</si>
  <si>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</si>
  <si>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</si>
  <si>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</si>
  <si>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</si>
  <si>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</si>
  <si>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</si>
  <si>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</si>
  <si>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</si>
  <si>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</si>
  <si>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</si>
  <si>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</si>
  <si>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</si>
  <si>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</si>
  <si>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</si>
  <si>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</si>
  <si>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</si>
  <si>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</si>
  <si>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</si>
  <si>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</si>
  <si>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</si>
  <si>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</si>
  <si>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</si>
  <si>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</si>
  <si>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</si>
  <si>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</si>
  <si>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</si>
  <si>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</si>
  <si>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</si>
  <si>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</si>
  <si>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</si>
  <si>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</si>
  <si>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</si>
  <si>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</si>
  <si>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</si>
  <si>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</si>
  <si>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</si>
  <si>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</si>
  <si>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</si>
  <si>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</si>
  <si>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</si>
  <si>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</si>
  <si>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</si>
  <si>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</si>
  <si>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</si>
  <si>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</si>
  <si>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</si>
  <si>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</si>
  <si>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</si>
  <si>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</si>
  <si>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</si>
  <si>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</si>
  <si>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</si>
  <si>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</si>
  <si>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</si>
  <si>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</si>
  <si>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</si>
  <si>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</si>
  <si>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</si>
  <si>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</si>
  <si>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</si>
  <si>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</si>
  <si>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</si>
  <si>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</si>
  <si>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</si>
  <si>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</si>
  <si>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</si>
  <si>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</si>
  <si>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</si>
  <si>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</si>
  <si>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</si>
  <si>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</si>
  <si>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</si>
  <si>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</si>
  <si>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</si>
  <si>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</si>
  <si>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</si>
  <si>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</si>
  <si>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</si>
  <si>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</si>
  <si>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</si>
  <si>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</si>
  <si>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</si>
  <si>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</si>
  <si>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</si>
  <si>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</si>
  <si>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</si>
  <si>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</si>
  <si>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</si>
  <si>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</si>
  <si>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</si>
  <si>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</si>
  <si>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</si>
  <si>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</si>
  <si>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</si>
  <si>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</si>
  <si>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</si>
  <si>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</si>
  <si>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</si>
  <si>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</si>
  <si>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</si>
  <si>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</si>
  <si>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</si>
  <si>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</si>
  <si>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</si>
  <si>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</si>
  <si>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</si>
  <si>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</si>
  <si>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</si>
  <si>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</si>
  <si>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</si>
  <si>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</si>
  <si>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</si>
  <si>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</si>
  <si>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</si>
  <si>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</si>
  <si>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</si>
  <si>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</si>
  <si>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</si>
  <si>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</si>
  <si>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</si>
  <si>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</si>
  <si>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</si>
  <si>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</si>
  <si>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</si>
  <si>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</si>
  <si>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</si>
  <si>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</si>
  <si>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</si>
  <si>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</si>
  <si>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</si>
  <si>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</si>
  <si>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</si>
  <si>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</si>
  <si>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</si>
  <si>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</si>
  <si>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</si>
  <si>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</si>
  <si>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</si>
  <si>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</si>
  <si>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</si>
  <si>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</si>
  <si>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</si>
  <si>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</si>
  <si>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</si>
  <si>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</si>
  <si>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</si>
  <si>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</si>
  <si>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</si>
  <si>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</si>
  <si>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</si>
  <si>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</si>
  <si>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</si>
  <si>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</si>
  <si>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</si>
  <si>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</si>
  <si>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</si>
  <si>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</si>
  <si>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</si>
  <si>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</si>
  <si>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</si>
  <si>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</si>
  <si>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</si>
  <si>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</si>
  <si>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</si>
  <si>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</si>
  <si>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</si>
  <si>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</si>
  <si>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</si>
  <si>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</si>
  <si>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</si>
  <si>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</si>
  <si>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</si>
  <si>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</si>
  <si>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</si>
  <si>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</si>
  <si>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</si>
  <si>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</si>
  <si>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</si>
  <si>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</si>
  <si>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</si>
  <si>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</si>
  <si>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</si>
  <si>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</si>
  <si>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</si>
  <si>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</si>
  <si>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</si>
  <si>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</si>
  <si>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</si>
  <si>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</si>
  <si>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</si>
  <si>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</si>
  <si>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</si>
  <si>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</si>
  <si>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</si>
  <si>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</si>
  <si>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</si>
  <si>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</si>
  <si>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</si>
  <si>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</si>
  <si>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</si>
  <si>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</si>
  <si>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</si>
  <si>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</si>
  <si>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</si>
  <si>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</si>
  <si>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</si>
  <si>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</si>
  <si>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</si>
  <si>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</si>
  <si>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</si>
  <si>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</si>
  <si>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</si>
  <si>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</si>
  <si>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</si>
  <si>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</si>
  <si>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</si>
  <si>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</si>
  <si>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</si>
  <si>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</si>
  <si>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</si>
  <si>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</si>
  <si>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</si>
  <si>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</si>
  <si>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</si>
  <si>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</si>
  <si>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</si>
  <si>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</si>
  <si>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</si>
  <si>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</si>
  <si>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</si>
  <si>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</si>
  <si>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</si>
  <si>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</si>
  <si>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</si>
  <si>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</si>
  <si>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</si>
  <si>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</si>
  <si>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</si>
  <si>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</si>
  <si>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</si>
  <si>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</si>
  <si>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</si>
  <si>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</si>
  <si>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</si>
  <si>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</si>
  <si>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</si>
  <si>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</si>
  <si>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</si>
  <si>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</si>
  <si>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</si>
  <si>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</si>
  <si>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</si>
  <si>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</si>
  <si>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</si>
  <si>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</si>
  <si>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</si>
  <si>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</si>
  <si>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</si>
  <si>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</si>
  <si>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</si>
  <si>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</si>
  <si>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</si>
  <si>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</si>
  <si>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</si>
  <si>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</si>
  <si>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</si>
  <si>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</si>
  <si>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</si>
  <si>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</si>
  <si>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</si>
  <si>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</si>
  <si>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</si>
  <si>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</si>
  <si>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</si>
  <si>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</si>
  <si>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</si>
  <si>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</si>
  <si>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</si>
  <si>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</si>
  <si>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</si>
  <si>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</si>
  <si>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</si>
  <si>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</si>
  <si>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</si>
  <si>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</si>
  <si>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</si>
  <si>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</si>
  <si>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</si>
  <si>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</si>
  <si>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</si>
  <si>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</si>
  <si>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</si>
  <si>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</si>
  <si>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</si>
  <si>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</si>
  <si>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</si>
  <si>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</si>
  <si>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</si>
  <si>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</si>
  <si>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</si>
  <si>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</si>
  <si>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</si>
  <si>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</si>
  <si>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</si>
  <si>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</si>
  <si>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</si>
  <si>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</si>
  <si>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</si>
  <si>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</si>
  <si>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</si>
  <si>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</si>
  <si>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</si>
  <si>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</si>
  <si>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</si>
  <si>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</si>
  <si>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</si>
  <si>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</si>
  <si>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</si>
  <si>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</si>
  <si>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</si>
  <si>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</si>
  <si>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</si>
  <si>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</si>
  <si>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</si>
  <si>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</si>
  <si>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</si>
  <si>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</si>
  <si>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</si>
  <si>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</si>
  <si>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</si>
  <si>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</si>
  <si>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</si>
  <si>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</si>
  <si>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</si>
  <si>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</si>
  <si>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</si>
  <si>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</si>
  <si>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</si>
  <si>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</si>
  <si>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</si>
  <si>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</si>
  <si>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</si>
  <si>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</si>
  <si>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</si>
  <si>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</si>
  <si>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</si>
  <si>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</si>
  <si>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</si>
  <si>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</si>
  <si>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</si>
  <si>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</si>
  <si>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</si>
  <si>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</si>
  <si>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</si>
  <si>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</si>
  <si>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</si>
  <si>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</si>
  <si>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</si>
  <si>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</si>
  <si>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</si>
  <si>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</si>
  <si>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</si>
  <si>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</si>
  <si>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</si>
  <si>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</si>
  <si>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</si>
  <si>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</si>
  <si>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</si>
  <si>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</si>
  <si>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</si>
  <si>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</si>
  <si>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</si>
  <si>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</si>
  <si>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</si>
  <si>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</si>
  <si>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</si>
  <si>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</si>
  <si>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</si>
  <si>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</si>
  <si>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</si>
  <si>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</si>
  <si>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</si>
  <si>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</si>
  <si>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</si>
  <si>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</si>
  <si>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</si>
  <si>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</si>
  <si>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</si>
  <si>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</si>
  <si>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</si>
  <si>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</si>
  <si>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</si>
  <si>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</si>
  <si>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</si>
  <si>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</si>
  <si>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</si>
  <si>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</si>
  <si>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</si>
  <si>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</si>
  <si>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</si>
  <si>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</si>
  <si>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</si>
  <si>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</si>
  <si>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</si>
  <si>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</si>
  <si>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</si>
  <si>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</si>
  <si>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</si>
  <si>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</si>
  <si>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</si>
  <si>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</si>
  <si>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</si>
  <si>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</si>
  <si>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</si>
  <si>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</si>
  <si>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</si>
  <si>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</si>
  <si>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</si>
  <si>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</si>
  <si>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</si>
  <si>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</si>
  <si>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</si>
  <si>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</si>
  <si>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</si>
  <si>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</si>
  <si>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</si>
  <si>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</si>
  <si>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</si>
  <si>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</si>
  <si>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</si>
  <si>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</si>
  <si>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</si>
  <si>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</si>
  <si>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</si>
  <si>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</si>
  <si>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</si>
  <si>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</si>
  <si>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</si>
  <si>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</si>
  <si>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</si>
  <si>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</si>
  <si>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</si>
  <si>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</si>
  <si>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</si>
  <si>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</si>
  <si>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</si>
  <si>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</si>
  <si>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</si>
  <si>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</si>
  <si>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</si>
  <si>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</si>
  <si>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</si>
  <si>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</si>
  <si>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</si>
  <si>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</si>
  <si>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</si>
  <si>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</si>
  <si>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</si>
  <si>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</si>
  <si>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</si>
  <si>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</si>
  <si>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</si>
  <si>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</si>
  <si>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</si>
  <si>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</si>
  <si>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</si>
  <si>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</si>
  <si>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</si>
  <si>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</si>
  <si>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</si>
  <si>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</si>
  <si>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</si>
  <si>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</si>
  <si>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</si>
  <si>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</si>
  <si>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</si>
  <si>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</si>
  <si>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</si>
  <si>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</si>
  <si>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</si>
  <si>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</si>
  <si>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</si>
  <si>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</si>
  <si>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</si>
  <si>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</si>
  <si>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</si>
  <si>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</si>
  <si>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</si>
  <si>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</si>
  <si>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</si>
  <si>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</si>
  <si>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</si>
  <si>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</si>
  <si>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</si>
  <si>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</si>
  <si>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</si>
  <si>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</si>
  <si>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</si>
  <si>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</si>
  <si>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</si>
  <si>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</si>
  <si>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</si>
  <si>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</si>
  <si>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</si>
  <si>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</si>
  <si>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</si>
  <si>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</si>
  <si>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</si>
  <si>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</si>
  <si>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</si>
  <si>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</si>
  <si>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</si>
  <si>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</si>
  <si>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</si>
  <si>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</si>
  <si>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</si>
  <si>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</si>
  <si>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</si>
  <si>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</si>
  <si>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</si>
  <si>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</si>
  <si>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</si>
  <si>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</si>
  <si>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</si>
  <si>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</si>
  <si>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</si>
  <si>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</si>
  <si>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</si>
  <si>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</si>
  <si>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</si>
  <si>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</si>
  <si>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</si>
  <si>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</si>
  <si>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</si>
  <si>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</si>
  <si>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</si>
  <si>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</si>
  <si>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</si>
  <si>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</si>
  <si>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</si>
  <si>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</si>
  <si>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</si>
  <si>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</si>
  <si>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</si>
  <si>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</si>
  <si>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</si>
  <si>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</si>
  <si>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</si>
  <si>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</si>
  <si>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</si>
  <si>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</si>
  <si>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</si>
  <si>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</si>
  <si>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</si>
  <si>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</si>
  <si>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</si>
  <si>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</si>
  <si>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</si>
  <si>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</si>
  <si>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</si>
  <si>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</si>
  <si>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</si>
  <si>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</si>
  <si>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</si>
  <si>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</si>
  <si>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</si>
  <si>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</si>
  <si>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</si>
  <si>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</si>
  <si>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</si>
  <si>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</si>
  <si>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</si>
  <si>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</si>
  <si>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</si>
  <si>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</si>
  <si>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</si>
  <si>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</si>
  <si>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</si>
  <si>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</si>
  <si>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</si>
  <si>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</si>
  <si>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</si>
  <si>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</si>
  <si>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</si>
  <si>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</si>
  <si>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</si>
  <si>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</si>
  <si>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</si>
  <si>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</si>
  <si>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</si>
  <si>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</si>
  <si>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</si>
  <si>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</si>
  <si>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</si>
  <si>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</si>
  <si>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</si>
  <si>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</si>
  <si>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</si>
  <si>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</si>
  <si>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</si>
  <si>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</si>
  <si>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</si>
  <si>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</si>
  <si>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</si>
  <si>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</si>
  <si>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</si>
  <si>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</si>
  <si>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</si>
  <si>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</si>
  <si>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</si>
  <si>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</si>
  <si>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</si>
  <si>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</si>
  <si>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</si>
  <si>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</si>
  <si>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</si>
  <si>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</si>
  <si>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</si>
  <si>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</si>
  <si>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</si>
  <si>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</si>
  <si>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</si>
  <si>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</si>
  <si>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</si>
  <si>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</si>
  <si>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</si>
  <si>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</si>
  <si>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</si>
  <si>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</si>
  <si>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</si>
  <si>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</si>
  <si>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</si>
  <si>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</si>
  <si>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</si>
  <si>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</si>
  <si>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</si>
  <si>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</si>
  <si>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</si>
  <si>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</si>
  <si>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</si>
  <si>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</si>
  <si>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</si>
  <si>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</si>
  <si>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</si>
  <si>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</si>
  <si>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</si>
  <si>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</si>
  <si>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</si>
  <si>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</si>
  <si>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</si>
  <si>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</si>
  <si>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</si>
  <si>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</si>
  <si>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</si>
  <si>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</si>
  <si>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</si>
  <si>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</si>
  <si>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</si>
  <si>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</si>
  <si>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</si>
  <si>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</si>
  <si>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</si>
  <si>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</si>
  <si>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</si>
  <si>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</si>
  <si>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</si>
  <si>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</si>
  <si>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</si>
  <si>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</si>
  <si>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</si>
  <si>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</si>
  <si>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</si>
  <si>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</si>
  <si>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</si>
  <si>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</si>
  <si>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</si>
  <si>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</si>
  <si>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</si>
  <si>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</si>
  <si>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</si>
  <si>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</si>
  <si>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</si>
  <si>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</si>
  <si>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</si>
  <si>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</si>
  <si>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</si>
  <si>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</si>
  <si>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</si>
  <si>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</si>
  <si>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</si>
  <si>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</si>
  <si>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</si>
  <si>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</si>
  <si>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</si>
  <si>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</si>
  <si>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</si>
  <si>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</si>
  <si>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</si>
  <si>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</si>
  <si>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</si>
  <si>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</si>
  <si>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</si>
  <si>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</si>
  <si>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</si>
  <si>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</si>
  <si>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</si>
  <si>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</si>
  <si>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</si>
  <si>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</si>
  <si>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</si>
  <si>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</si>
  <si>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</si>
  <si>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</si>
  <si>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</si>
  <si>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</si>
  <si>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</si>
  <si>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</si>
  <si>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</si>
  <si>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</si>
  <si>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</si>
  <si>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</si>
  <si>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</si>
  <si>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</si>
  <si>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</si>
  <si>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</si>
  <si>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</si>
  <si>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</si>
  <si>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</si>
  <si>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</si>
  <si>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</si>
  <si>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</si>
  <si>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</si>
  <si>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</si>
  <si>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</si>
  <si>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</si>
  <si>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</si>
  <si>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</si>
  <si>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</si>
  <si>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</si>
  <si>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</si>
  <si>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</si>
  <si>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</si>
  <si>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</si>
  <si>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</si>
  <si>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</si>
  <si>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</si>
  <si>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</si>
  <si>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</si>
  <si>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</si>
  <si>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</si>
  <si>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</si>
  <si>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</si>
  <si>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</si>
  <si>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</si>
  <si>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</si>
  <si>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</si>
  <si>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</si>
  <si>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</si>
  <si>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</si>
  <si>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</si>
  <si>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</si>
  <si>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</si>
  <si>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</si>
  <si>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</si>
  <si>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</si>
  <si>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</si>
  <si>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</si>
  <si>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</si>
  <si>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</si>
  <si>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</si>
  <si>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</si>
  <si>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</si>
  <si>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</si>
  <si>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</si>
  <si>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</si>
  <si>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</si>
  <si>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</si>
  <si>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</si>
  <si>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</si>
  <si>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</si>
  <si>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</si>
  <si>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</si>
  <si>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</si>
  <si>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</si>
  <si>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</si>
  <si>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</si>
  <si>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</si>
  <si>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</si>
  <si>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</si>
  <si>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</si>
  <si>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</si>
  <si>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</si>
  <si>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</si>
  <si>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</si>
  <si>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</si>
  <si>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</si>
  <si>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</si>
  <si>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</si>
  <si>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</si>
  <si>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</si>
  <si>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</si>
  <si>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</si>
  <si>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</si>
  <si>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</si>
  <si>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</si>
  <si>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</si>
  <si>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</si>
  <si>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</si>
  <si>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</si>
  <si>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</si>
  <si>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</si>
  <si>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</si>
  <si>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</si>
  <si>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</si>
  <si>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</si>
  <si>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</si>
  <si>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</si>
  <si>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</si>
  <si>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</si>
  <si>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</si>
  <si>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</si>
  <si>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</si>
  <si>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</si>
  <si>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</si>
  <si>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</si>
  <si>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</si>
  <si>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</si>
  <si>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</si>
  <si>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</si>
  <si>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</si>
  <si>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</si>
  <si>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</si>
  <si>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</si>
  <si>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</si>
  <si>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</si>
  <si>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</si>
  <si>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</si>
  <si>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</si>
  <si>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</si>
  <si>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</si>
  <si>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</si>
  <si>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</si>
  <si>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</si>
  <si>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</si>
  <si>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</si>
  <si>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</si>
  <si>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</si>
  <si>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</si>
  <si>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</si>
  <si>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</si>
  <si>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</si>
  <si>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</si>
  <si>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</si>
  <si>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</si>
  <si>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</si>
  <si>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</si>
  <si>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</si>
  <si>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</si>
  <si>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</si>
  <si>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</si>
  <si>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</si>
  <si>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</si>
  <si>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</si>
  <si>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</si>
  <si>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</si>
  <si>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</si>
  <si>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</si>
  <si>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</si>
  <si>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</si>
  <si>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</si>
  <si>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</si>
  <si>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</si>
  <si>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</si>
  <si>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</si>
  <si>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</si>
  <si>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</si>
  <si>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</si>
  <si>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</si>
  <si>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</si>
  <si>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</si>
  <si>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</si>
  <si>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</si>
  <si>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</si>
  <si>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</si>
  <si>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</si>
  <si>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</si>
  <si>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</si>
  <si>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</si>
  <si>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</si>
  <si>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</si>
  <si>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</si>
  <si>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</si>
  <si>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</si>
  <si>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</si>
  <si>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</si>
  <si>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</si>
  <si>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</si>
  <si>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</si>
  <si>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</si>
  <si>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</si>
  <si>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</si>
  <si>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</si>
  <si>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</si>
  <si>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</si>
  <si>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</si>
  <si>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</si>
  <si>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</si>
  <si>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</si>
  <si>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</si>
  <si>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</si>
  <si>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</si>
  <si>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</si>
  <si>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</si>
  <si>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</si>
  <si>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</si>
  <si>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</si>
  <si>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</si>
  <si>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</si>
  <si>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</si>
  <si>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</si>
  <si>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</si>
  <si>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</si>
  <si>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</si>
  <si>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</si>
  <si>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</si>
  <si>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</si>
  <si>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</si>
  <si>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</si>
  <si>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</si>
  <si>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</si>
  <si>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</si>
  <si>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</si>
  <si>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</si>
  <si>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</si>
  <si>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</si>
  <si>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</si>
  <si>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</si>
  <si>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</si>
  <si>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</si>
  <si>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</si>
  <si>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</si>
  <si>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</si>
  <si>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</si>
  <si>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</si>
  <si>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</si>
  <si>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</si>
  <si>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</si>
  <si>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</si>
  <si>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</si>
  <si>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</si>
  <si>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</si>
  <si>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</si>
  <si>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</si>
  <si>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</si>
  <si>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</si>
  <si>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</si>
  <si>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</si>
  <si>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</si>
  <si>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</si>
  <si>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</si>
  <si>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</si>
  <si>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</si>
  <si>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</si>
  <si>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</si>
  <si>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</si>
  <si>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</si>
  <si>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</si>
  <si>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</si>
  <si>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</si>
  <si>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</si>
  <si>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</si>
  <si>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</si>
  <si>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</si>
  <si>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</si>
  <si>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</si>
  <si>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</si>
  <si>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</si>
  <si>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</si>
  <si>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</si>
  <si>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</si>
  <si>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</si>
  <si>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</si>
  <si>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</si>
  <si>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</si>
  <si>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</si>
  <si>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</si>
  <si>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</si>
  <si>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</si>
  <si>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</si>
  <si>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</si>
  <si>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</si>
  <si>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</si>
  <si>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</si>
  <si>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</si>
  <si>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</si>
  <si>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</si>
  <si>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</si>
  <si>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</si>
  <si>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</si>
  <si>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</si>
  <si>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</si>
  <si>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</si>
  <si>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</si>
  <si>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</si>
  <si>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</si>
  <si>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</si>
  <si>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</si>
  <si>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</si>
  <si>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</si>
  <si>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</si>
  <si>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</si>
  <si>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</si>
  <si>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</si>
  <si>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</si>
  <si>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</si>
  <si>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</si>
  <si>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</si>
  <si>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</si>
  <si>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</si>
  <si>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</si>
  <si>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</si>
  <si>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</si>
  <si>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</si>
  <si>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</si>
  <si>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</si>
  <si>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</si>
  <si>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</si>
  <si>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</si>
  <si>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</si>
  <si>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</si>
  <si>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</si>
  <si>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</si>
  <si>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</si>
  <si>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</si>
  <si>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</si>
  <si>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</si>
  <si>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</si>
  <si>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</si>
  <si>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</si>
  <si>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</si>
  <si>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</si>
  <si>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</si>
  <si>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</si>
  <si>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</si>
  <si>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</si>
  <si>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</si>
  <si>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</si>
  <si>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</si>
  <si>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</si>
  <si>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</si>
  <si>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</si>
  <si>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</si>
  <si>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</si>
  <si>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</si>
  <si>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</si>
  <si>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</si>
  <si>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</si>
  <si>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</si>
  <si>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</si>
  <si>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</si>
  <si>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</si>
  <si>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</si>
  <si>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</si>
  <si>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</si>
  <si>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</si>
  <si>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</si>
  <si>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</si>
  <si>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</si>
  <si>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</si>
  <si>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</si>
  <si>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</si>
  <si>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</si>
  <si>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</si>
  <si>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</si>
  <si>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</si>
  <si>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</si>
  <si>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</si>
  <si>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</si>
  <si>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</si>
  <si>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</si>
  <si>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</si>
  <si>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</si>
  <si>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</si>
  <si>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</si>
  <si>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</si>
  <si>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</si>
  <si>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</si>
  <si>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</si>
  <si>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</si>
  <si>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</si>
  <si>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</si>
  <si>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</si>
  <si>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</si>
  <si>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</si>
  <si>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</si>
  <si>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</si>
  <si>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</si>
  <si>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</si>
  <si>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</si>
  <si>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</si>
  <si>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</si>
  <si>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</si>
  <si>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</si>
  <si>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</si>
  <si>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</si>
  <si>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</si>
  <si>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</si>
  <si>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</si>
  <si>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</si>
  <si>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</si>
  <si>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</si>
  <si>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</si>
  <si>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</si>
  <si>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</si>
  <si>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</si>
  <si>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</si>
  <si>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</si>
  <si>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</si>
  <si>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</si>
  <si>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</si>
  <si>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</si>
  <si>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</si>
  <si>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</si>
  <si>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</si>
  <si>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</si>
  <si>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</si>
  <si>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</si>
  <si>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</si>
  <si>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</si>
  <si>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</si>
  <si>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</si>
  <si>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</si>
  <si>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</si>
  <si>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</si>
  <si>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</si>
  <si>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</si>
  <si>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</si>
  <si>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</si>
  <si>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</si>
  <si>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</si>
  <si>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</si>
  <si>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</si>
  <si>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</si>
  <si>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</si>
  <si>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</si>
  <si>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</si>
  <si>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</si>
  <si>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</si>
  <si>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</si>
  <si>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</si>
  <si>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</si>
  <si>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</si>
  <si>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</si>
  <si>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</si>
  <si>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</si>
  <si>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</si>
  <si>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</si>
  <si>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</si>
  <si>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</si>
  <si>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</si>
  <si>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</si>
  <si>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</si>
  <si>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</si>
  <si>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</si>
  <si>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</si>
  <si>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</si>
  <si>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</si>
  <si>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</si>
  <si>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</si>
  <si>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</si>
  <si>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</si>
  <si>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</si>
  <si>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</si>
  <si>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</si>
  <si>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</si>
  <si>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</si>
  <si>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</si>
  <si>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</si>
  <si>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</si>
  <si>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</si>
  <si>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</si>
  <si>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</si>
  <si>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</si>
  <si>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</si>
  <si>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</si>
  <si>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</si>
  <si>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</si>
  <si>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</si>
  <si>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</si>
  <si>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</si>
  <si>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</si>
  <si>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</si>
  <si>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</si>
  <si>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</si>
  <si>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</si>
  <si>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</si>
  <si>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</si>
  <si>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</si>
  <si>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</si>
  <si>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</si>
  <si>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</si>
  <si>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</si>
  <si>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</si>
  <si>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</si>
  <si>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</si>
  <si>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</si>
  <si>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</si>
  <si>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</si>
  <si>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</si>
  <si>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</si>
  <si>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</si>
  <si>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</si>
  <si>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</si>
  <si>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</si>
  <si>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</si>
  <si>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</si>
  <si>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</si>
  <si>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</si>
  <si>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</si>
  <si>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</si>
  <si>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</si>
  <si>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</si>
  <si>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</si>
  <si>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</si>
  <si>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</si>
  <si>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</si>
  <si>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</si>
  <si>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</si>
  <si>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</si>
  <si>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</si>
  <si>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</si>
  <si>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</si>
  <si>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</si>
  <si>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</si>
  <si>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</si>
  <si>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</si>
  <si>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</si>
  <si>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</si>
  <si>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</si>
  <si>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</si>
  <si>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</si>
  <si>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</si>
  <si>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</si>
  <si>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</si>
  <si>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</si>
  <si>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</si>
  <si>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</si>
  <si>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</si>
  <si>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</si>
  <si>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</si>
  <si>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</si>
  <si>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</si>
  <si>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</si>
  <si>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</si>
  <si>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</si>
  <si>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</si>
  <si>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</si>
  <si>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</si>
  <si>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</si>
  <si>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</si>
  <si>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</si>
  <si>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</si>
  <si>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</si>
  <si>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</si>
  <si>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</si>
  <si>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</si>
  <si>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</si>
  <si>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</si>
  <si>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</si>
  <si>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</si>
  <si>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</si>
  <si>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</si>
  <si>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</si>
  <si>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</si>
  <si>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</si>
  <si>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</si>
  <si>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</si>
  <si>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</si>
  <si>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</si>
  <si>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</si>
  <si>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</si>
  <si>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</si>
  <si>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</si>
  <si>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</si>
  <si>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</si>
  <si>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</si>
  <si>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</si>
  <si>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</si>
  <si>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</si>
  <si>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</si>
  <si>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</si>
  <si>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</si>
  <si>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</si>
  <si>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</si>
  <si>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</si>
  <si>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</si>
  <si>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</si>
  <si>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</si>
  <si>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</si>
  <si>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</si>
  <si>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</si>
  <si>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</si>
  <si>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</si>
  <si>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</si>
  <si>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</si>
  <si>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</si>
  <si>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</si>
  <si>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</si>
  <si>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</si>
  <si>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</si>
  <si>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</si>
  <si>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</si>
  <si>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</si>
  <si>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</si>
  <si>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</si>
  <si>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</si>
  <si>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</si>
  <si>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</si>
  <si>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</si>
  <si>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</si>
  <si>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</si>
  <si>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</si>
  <si>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</si>
  <si>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</si>
  <si>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</si>
  <si>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</si>
  <si>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</si>
  <si>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</si>
  <si>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</si>
  <si>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</si>
  <si>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</si>
  <si>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</si>
  <si>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</si>
  <si>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</si>
  <si>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</si>
  <si>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</si>
  <si>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</si>
  <si>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</si>
  <si>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</si>
  <si>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</si>
  <si>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</si>
  <si>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</si>
  <si>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</si>
  <si>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</si>
  <si>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</si>
  <si>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</si>
  <si>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</si>
  <si>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</si>
  <si>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</si>
  <si>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</si>
  <si>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</si>
  <si>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</si>
  <si>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</si>
  <si>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</si>
  <si>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</si>
  <si>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</si>
  <si>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</si>
  <si>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</si>
  <si>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</si>
  <si>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</si>
  <si>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</si>
  <si>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</si>
  <si>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</si>
  <si>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</si>
  <si>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</si>
  <si>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</si>
  <si>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</si>
  <si>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</si>
  <si>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</si>
  <si>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</si>
  <si>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</si>
  <si>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</si>
  <si>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</si>
  <si>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</si>
  <si>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</si>
  <si>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</si>
  <si>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</si>
  <si>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</si>
  <si>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</si>
  <si>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</si>
  <si>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</si>
  <si>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</si>
  <si>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</si>
  <si>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</si>
  <si>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</si>
  <si>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</si>
  <si>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</si>
  <si>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</si>
  <si>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</si>
  <si>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</si>
  <si>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</si>
  <si>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</si>
  <si>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</si>
  <si>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</si>
  <si>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</si>
  <si>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</si>
  <si>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</si>
  <si>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</si>
  <si>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</si>
  <si>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</si>
  <si>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</si>
  <si>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</si>
  <si>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</si>
  <si>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</si>
  <si>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</si>
  <si>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</si>
  <si>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</si>
  <si>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</si>
  <si>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</si>
  <si>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</si>
  <si>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</si>
  <si>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</si>
  <si>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</si>
  <si>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</si>
  <si>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</si>
  <si>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</si>
  <si>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</si>
  <si>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</si>
  <si>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</si>
  <si>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</si>
  <si>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</si>
  <si>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</si>
  <si>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</si>
  <si>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</si>
  <si>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</si>
  <si>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</si>
  <si>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</si>
  <si>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</si>
  <si>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</si>
  <si>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</si>
  <si>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</si>
  <si>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</si>
  <si>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</si>
  <si>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</si>
  <si>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</si>
  <si>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</si>
  <si>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</si>
  <si>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</si>
  <si>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</si>
  <si>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</si>
  <si>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</si>
  <si>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</si>
  <si>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</si>
  <si>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</si>
  <si>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</si>
  <si>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</si>
  <si>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</si>
  <si>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</si>
  <si>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</si>
  <si>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</si>
  <si>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</si>
  <si>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</si>
  <si>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</si>
  <si>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</si>
  <si>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</si>
  <si>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</si>
  <si>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</si>
  <si>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</si>
  <si>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</si>
  <si>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</si>
  <si>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</si>
  <si>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</si>
  <si>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</si>
  <si>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</si>
  <si>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</si>
  <si>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</si>
  <si>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</si>
  <si>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</si>
  <si>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</si>
  <si>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</si>
  <si>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</si>
  <si>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</si>
  <si>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</si>
  <si>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</si>
  <si>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</si>
  <si>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</si>
  <si>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</si>
  <si>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</si>
  <si>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</si>
  <si>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</si>
  <si>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</si>
  <si>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</si>
  <si>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</si>
  <si>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</si>
  <si>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</si>
  <si>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</si>
  <si>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</si>
  <si>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</si>
  <si>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</si>
  <si>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</si>
  <si>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</si>
  <si>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</si>
  <si>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</si>
  <si>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</si>
  <si>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</si>
  <si>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</si>
  <si>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</si>
  <si>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</si>
  <si>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</si>
  <si>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</si>
  <si>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</si>
  <si>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</si>
  <si>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</si>
  <si>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</si>
  <si>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</si>
  <si>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</si>
  <si>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</si>
  <si>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</si>
  <si>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</si>
  <si>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</si>
  <si>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</si>
  <si>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</si>
  <si>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</si>
  <si>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</si>
  <si>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</si>
  <si>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</si>
  <si>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</si>
  <si>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</si>
  <si>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</si>
  <si>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</si>
  <si>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</si>
  <si>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</si>
  <si>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</si>
  <si>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</si>
  <si>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</si>
  <si>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</si>
  <si>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</si>
  <si>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</si>
  <si>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</si>
  <si>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</si>
  <si>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</si>
  <si>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</si>
  <si>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</si>
  <si>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</si>
  <si>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</si>
  <si>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</si>
  <si>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</si>
  <si>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</si>
  <si>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</si>
  <si>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</si>
  <si>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</si>
  <si>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</si>
  <si>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</si>
  <si>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</si>
  <si>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</si>
  <si>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</si>
  <si>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</si>
  <si>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</si>
  <si>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</si>
  <si>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</si>
  <si>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</si>
  <si>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</si>
  <si>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</si>
  <si>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</si>
  <si>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</si>
  <si>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</si>
  <si>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</si>
  <si>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</si>
  <si>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</si>
  <si>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</si>
  <si>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</si>
  <si>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</si>
  <si>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</si>
  <si>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</si>
  <si>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</si>
  <si>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</si>
  <si>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</si>
  <si>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</si>
  <si>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</si>
  <si>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</si>
  <si>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</si>
  <si>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</si>
  <si>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</si>
  <si>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</si>
  <si>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</si>
  <si>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</si>
  <si>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</si>
  <si>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</si>
  <si>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</si>
  <si>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</si>
  <si>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</si>
  <si>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</si>
  <si>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</si>
  <si>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</si>
  <si>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</si>
  <si>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</si>
  <si>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</si>
  <si>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</si>
  <si>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</si>
  <si>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</si>
  <si>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</si>
  <si>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</si>
  <si>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</si>
  <si>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</si>
  <si>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</si>
  <si>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</si>
  <si>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</si>
  <si>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</si>
  <si>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</si>
  <si>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</si>
  <si>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</si>
  <si>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</si>
  <si>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</si>
  <si>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</si>
  <si>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</si>
  <si>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</si>
  <si>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</si>
  <si>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</si>
  <si>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</si>
  <si>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</si>
  <si>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</si>
  <si>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</si>
  <si>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</si>
  <si>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</si>
  <si>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</si>
  <si>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</si>
  <si>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</si>
  <si>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</si>
  <si>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</si>
  <si>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</si>
  <si>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</si>
  <si>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</si>
  <si>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</si>
  <si>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</si>
  <si>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</si>
  <si>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</si>
  <si>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</si>
  <si>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</si>
  <si>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</si>
  <si>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</si>
  <si>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</si>
  <si>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</si>
  <si>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</si>
  <si>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</si>
  <si>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</si>
  <si>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</si>
  <si>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</si>
  <si>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</si>
  <si>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</si>
  <si>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</si>
  <si>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</si>
  <si>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</si>
  <si>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</si>
  <si>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</si>
  <si>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</si>
  <si>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</si>
  <si>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</si>
  <si>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</si>
  <si>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</si>
  <si>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</si>
  <si>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</si>
  <si>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</si>
  <si>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</si>
  <si>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</si>
  <si>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</si>
  <si>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</si>
  <si>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</si>
  <si>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</si>
  <si>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</si>
  <si>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</si>
  <si>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</si>
  <si>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</si>
  <si>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</si>
  <si>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</si>
  <si>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</si>
  <si>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</si>
  <si>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</si>
  <si>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</si>
  <si>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</si>
  <si>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</si>
  <si>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</si>
  <si>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</si>
  <si>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</si>
  <si>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</si>
  <si>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</si>
  <si>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</si>
  <si>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</si>
  <si>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</si>
  <si>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</si>
  <si>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</si>
  <si>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</si>
  <si>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</si>
  <si>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</si>
  <si>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</si>
  <si>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</si>
  <si>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</si>
  <si>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</si>
  <si>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</si>
  <si>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</si>
  <si>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</si>
  <si>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</si>
  <si>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</si>
  <si>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</si>
  <si>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</si>
  <si>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</si>
  <si>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</si>
  <si>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</si>
  <si>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</si>
  <si>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</si>
  <si>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</si>
  <si>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</si>
  <si>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</si>
  <si>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</si>
  <si>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</si>
  <si>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</si>
  <si>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</si>
  <si>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</si>
  <si>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</si>
  <si>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</si>
  <si>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</si>
  <si>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</si>
  <si>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</si>
  <si>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</si>
  <si>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</si>
  <si>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</si>
  <si>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</si>
  <si>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</si>
  <si>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</si>
  <si>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</si>
  <si>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</si>
  <si>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</si>
  <si>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</si>
  <si>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</si>
  <si>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</si>
  <si>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</si>
  <si>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</si>
  <si>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</si>
  <si>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</si>
  <si>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</si>
  <si>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</si>
  <si>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</si>
  <si>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</si>
  <si>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</si>
  <si>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</si>
  <si>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</si>
  <si>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</si>
  <si>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</si>
  <si>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</si>
  <si>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</si>
  <si>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</si>
  <si>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</si>
  <si>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</si>
  <si>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</si>
  <si>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</si>
  <si>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</si>
  <si>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</si>
  <si>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</si>
  <si>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</si>
  <si>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</si>
  <si>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</si>
  <si>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</si>
  <si>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</si>
  <si>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</si>
  <si>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</si>
  <si>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</si>
  <si>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</si>
  <si>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</si>
  <si>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</si>
  <si>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</si>
  <si>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</si>
  <si>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</si>
  <si>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</si>
  <si>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</si>
  <si>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</si>
  <si>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</si>
  <si>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</si>
  <si>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</si>
  <si>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</si>
  <si>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</si>
  <si>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</si>
  <si>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</si>
  <si>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</si>
  <si>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</si>
  <si>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</si>
  <si>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</si>
  <si>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</si>
  <si>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</si>
  <si>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</si>
  <si>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</si>
  <si>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</si>
  <si>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</si>
  <si>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</si>
  <si>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</si>
  <si>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</si>
  <si>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</si>
  <si>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</si>
  <si>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</si>
  <si>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</si>
  <si>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</si>
  <si>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</si>
  <si>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</si>
  <si>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</si>
  <si>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</si>
  <si>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</si>
  <si>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</si>
  <si>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</si>
  <si>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</si>
  <si>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</si>
  <si>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</si>
  <si>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</si>
  <si>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</si>
  <si>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</si>
  <si>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</si>
  <si>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</si>
  <si>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</si>
  <si>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</si>
  <si>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</si>
  <si>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</si>
  <si>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</si>
  <si>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</si>
  <si>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</si>
  <si>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</si>
  <si>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</si>
  <si>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</si>
  <si>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</si>
  <si>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</si>
  <si>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</si>
  <si>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</si>
  <si>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</si>
  <si>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</si>
  <si>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</si>
  <si>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</si>
  <si>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</si>
  <si>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</si>
  <si>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</si>
  <si>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</si>
  <si>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</si>
  <si>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</si>
  <si>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</si>
  <si>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</si>
  <si>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</si>
  <si>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</si>
  <si>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</si>
  <si>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</si>
  <si>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</si>
  <si>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</si>
  <si>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</si>
  <si>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</si>
  <si>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</si>
  <si>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</si>
  <si>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</si>
  <si>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</si>
  <si>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</si>
  <si>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</si>
  <si>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</si>
  <si>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</si>
  <si>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</si>
  <si>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</si>
  <si>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</si>
  <si>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</si>
  <si>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</si>
  <si>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</si>
  <si>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</si>
  <si>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</si>
  <si>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</si>
  <si>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</si>
  <si>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</si>
  <si>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</si>
  <si>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</si>
  <si>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</si>
  <si>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</si>
  <si>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</si>
  <si>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</si>
  <si>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</si>
  <si>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</si>
  <si>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</si>
  <si>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</si>
  <si>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</si>
  <si>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</si>
  <si>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</si>
  <si>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</si>
  <si>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</si>
  <si>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</si>
  <si>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</si>
  <si>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</si>
  <si>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</si>
  <si>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</si>
  <si>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</si>
  <si>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</si>
  <si>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</si>
  <si>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</si>
  <si>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</si>
  <si>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</si>
  <si>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</si>
  <si>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</si>
  <si>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</si>
  <si>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</si>
  <si>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</si>
  <si>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</si>
  <si>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</si>
  <si>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</si>
  <si>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</si>
  <si>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</si>
  <si>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</si>
  <si>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</si>
  <si>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</si>
  <si>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</si>
  <si>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</si>
  <si>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</si>
  <si>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</si>
  <si>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</si>
  <si>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</si>
  <si>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</si>
  <si>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</si>
  <si>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</si>
  <si>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</si>
  <si>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</si>
  <si>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</si>
  <si>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</si>
  <si>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</si>
  <si>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</si>
  <si>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</si>
  <si>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</si>
  <si>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</si>
  <si>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</si>
  <si>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</si>
  <si>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</si>
  <si>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</si>
  <si>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</si>
  <si>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</si>
  <si>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</si>
  <si>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</si>
  <si>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</si>
  <si>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</si>
  <si>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</si>
  <si>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</si>
  <si>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</si>
  <si>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</si>
  <si>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</si>
  <si>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</si>
  <si>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</si>
  <si>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</si>
  <si>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</si>
  <si>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</si>
  <si>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</si>
  <si>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</si>
  <si>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</si>
  <si>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</si>
  <si>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</si>
  <si>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</si>
  <si>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</si>
  <si>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</si>
  <si>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</si>
  <si>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</si>
  <si>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</si>
  <si>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</si>
  <si>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</si>
  <si>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</si>
  <si>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</si>
  <si>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</si>
  <si>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</si>
  <si>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</si>
  <si>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</si>
  <si>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</si>
  <si>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</si>
  <si>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</si>
  <si>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</si>
  <si>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</si>
  <si>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</si>
  <si>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</si>
  <si>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</si>
  <si>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</si>
  <si>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</si>
  <si>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</si>
  <si>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</si>
  <si>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</si>
  <si>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</si>
  <si>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</si>
  <si>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</si>
  <si>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</si>
  <si>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</si>
  <si>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</si>
  <si>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</si>
  <si>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</si>
  <si>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</si>
  <si>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</si>
  <si>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</si>
  <si>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</si>
  <si>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</si>
  <si>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</si>
  <si>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</si>
  <si>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</si>
  <si>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</si>
  <si>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</si>
  <si>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</si>
  <si>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</si>
  <si>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</si>
  <si>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</si>
  <si>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</si>
  <si>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</si>
  <si>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</si>
  <si>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</si>
  <si>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</si>
  <si>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</si>
  <si>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</si>
  <si>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</si>
  <si>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</si>
  <si>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</si>
  <si>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</si>
  <si>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</si>
  <si>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</si>
  <si>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</si>
  <si>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</si>
  <si>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</si>
  <si>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</si>
  <si>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</si>
  <si>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</si>
  <si>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</si>
  <si>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</si>
  <si>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</si>
  <si>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</si>
  <si>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</si>
  <si>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</si>
  <si>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</si>
  <si>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</si>
  <si>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</si>
  <si>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</si>
  <si>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</si>
  <si>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</si>
  <si>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</si>
  <si>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</si>
  <si>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</si>
  <si>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</si>
  <si>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</si>
  <si>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</si>
  <si>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</si>
  <si>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</si>
  <si>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</si>
  <si>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</si>
  <si>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</si>
  <si>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</si>
  <si>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</si>
  <si>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</si>
  <si>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</si>
  <si>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</si>
  <si>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</si>
  <si>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</si>
  <si>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</si>
  <si>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</si>
  <si>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</si>
  <si>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</si>
  <si>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</si>
  <si>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</si>
  <si>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</si>
  <si>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</si>
  <si>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</si>
  <si>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</si>
  <si>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</si>
  <si>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</si>
  <si>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</si>
  <si>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</si>
  <si>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</si>
  <si>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</si>
  <si>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</si>
  <si>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</si>
  <si>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</si>
  <si>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</si>
  <si>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</si>
  <si>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</si>
  <si>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</si>
  <si>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</si>
  <si>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</si>
  <si>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</si>
  <si>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</si>
  <si>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</si>
  <si>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</si>
  <si>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</si>
  <si>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</si>
  <si>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</si>
  <si>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</si>
  <si>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</si>
  <si>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</si>
  <si>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</si>
  <si>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</si>
  <si>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</si>
  <si>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</si>
  <si>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</si>
  <si>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</si>
  <si>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</si>
  <si>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</si>
  <si>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</si>
  <si>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</si>
  <si>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</si>
  <si>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</si>
  <si>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</si>
  <si>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</si>
  <si>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</si>
  <si>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</si>
  <si>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</si>
  <si>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</si>
  <si>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</si>
  <si>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</si>
  <si>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</si>
  <si>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</si>
  <si>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</si>
  <si>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</si>
  <si>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</si>
  <si>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</si>
  <si>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</si>
  <si>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</si>
  <si>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</si>
  <si>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</si>
  <si>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</si>
  <si>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</si>
  <si>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</si>
  <si>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</si>
  <si>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</si>
  <si>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</si>
  <si>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</si>
  <si>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</si>
  <si>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</si>
  <si>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</si>
  <si>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</si>
  <si>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</si>
  <si>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</si>
  <si>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</si>
  <si>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</si>
  <si>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</si>
  <si>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</si>
  <si>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</si>
  <si>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</si>
  <si>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</si>
  <si>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</si>
  <si>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</si>
  <si>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</si>
  <si>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</si>
  <si>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</si>
  <si>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</si>
  <si>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</si>
  <si>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</si>
  <si>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</si>
  <si>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</si>
  <si>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</si>
  <si>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</si>
  <si>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</si>
  <si>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</si>
  <si>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</si>
  <si>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</si>
  <si>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</si>
  <si>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</si>
  <si>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</si>
  <si>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</si>
  <si>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</si>
  <si>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</si>
  <si>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</si>
  <si>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</si>
  <si>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</si>
  <si>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</si>
  <si>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</si>
  <si>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</si>
  <si>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</si>
  <si>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</si>
  <si>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</si>
  <si>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</si>
  <si>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</si>
  <si>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</si>
  <si>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</si>
  <si>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</si>
  <si>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</si>
  <si>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</si>
  <si>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</si>
  <si>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</si>
  <si>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</si>
  <si>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</si>
  <si>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</si>
  <si>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</si>
  <si>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</si>
  <si>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</si>
  <si>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</si>
  <si>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</si>
  <si>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</si>
  <si>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</si>
  <si>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</si>
  <si>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</si>
  <si>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</si>
  <si>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</si>
  <si>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</si>
  <si>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</si>
  <si>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</si>
  <si>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</si>
  <si>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</si>
  <si>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</si>
  <si>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</si>
  <si>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</si>
  <si>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</si>
  <si>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</si>
  <si>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</si>
  <si>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</si>
  <si>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</si>
  <si>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</si>
  <si>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</si>
  <si>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</si>
  <si>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</si>
  <si>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</si>
  <si>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</si>
  <si>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</si>
  <si>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</si>
  <si>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</si>
  <si>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</si>
  <si>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</si>
  <si>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</si>
  <si>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</si>
  <si>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</si>
  <si>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</si>
  <si>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</si>
  <si>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</si>
  <si>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</si>
  <si>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</si>
  <si>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</si>
  <si>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</si>
  <si>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</si>
  <si>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</si>
  <si>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</si>
  <si>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</si>
  <si>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</si>
  <si>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</si>
  <si>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</si>
  <si>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</si>
  <si>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</si>
  <si>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</si>
  <si>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</si>
  <si>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</si>
  <si>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</si>
  <si>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</si>
  <si>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</si>
  <si>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</si>
  <si>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</si>
  <si>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</si>
  <si>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</si>
  <si>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</si>
  <si>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</si>
  <si>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</si>
  <si>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</si>
  <si>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</si>
  <si>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</si>
  <si>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</si>
  <si>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</si>
  <si>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</si>
  <si>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</si>
  <si>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</si>
  <si>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</si>
  <si>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</si>
  <si>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</si>
  <si>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</si>
  <si>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</si>
  <si>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</si>
  <si>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</si>
  <si>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</si>
  <si>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</si>
  <si>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</si>
  <si>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</si>
  <si>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</si>
  <si>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</si>
  <si>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</si>
  <si>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</si>
  <si>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</si>
  <si>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</si>
  <si>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</si>
  <si>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</si>
  <si>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</si>
  <si>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</si>
  <si>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</si>
  <si>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</si>
  <si>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</si>
  <si>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</si>
  <si>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</si>
  <si>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</si>
  <si>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</si>
  <si>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</si>
  <si>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</si>
  <si>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</si>
  <si>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</si>
  <si>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</si>
  <si>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</si>
  <si>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</si>
  <si>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</si>
  <si>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</si>
  <si>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</si>
  <si>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</si>
  <si>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</si>
  <si>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</si>
  <si>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</si>
  <si>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</si>
  <si>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</si>
  <si>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</si>
  <si>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</si>
  <si>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</si>
  <si>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</si>
  <si>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</si>
  <si>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</si>
  <si>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</si>
  <si>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</si>
  <si>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</si>
  <si>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</si>
  <si>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</si>
  <si>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</si>
  <si>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</si>
  <si>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</si>
  <si>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</si>
  <si>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</si>
  <si>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</si>
  <si>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</si>
  <si>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</si>
  <si>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</si>
  <si>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</si>
  <si>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</si>
  <si>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</si>
  <si>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</si>
  <si>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</si>
  <si>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</si>
  <si>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</si>
  <si>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</si>
  <si>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</si>
  <si>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</si>
  <si>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</si>
  <si>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</si>
  <si>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</si>
  <si>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</si>
  <si>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</si>
  <si>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</si>
  <si>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</si>
  <si>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</si>
  <si>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</si>
  <si>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</si>
  <si>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</si>
  <si>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</si>
  <si>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</si>
  <si>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</si>
  <si>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</si>
  <si>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</si>
  <si>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</si>
  <si>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</si>
  <si>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</si>
  <si>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</si>
  <si>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</si>
  <si>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</si>
  <si>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</si>
  <si>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</si>
  <si>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</si>
  <si>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</si>
  <si>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</si>
  <si>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</si>
  <si>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</si>
  <si>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</si>
  <si>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</si>
  <si>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</si>
  <si>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</si>
  <si>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</si>
  <si>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</si>
  <si>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</si>
  <si>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</si>
  <si>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</si>
  <si>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</si>
  <si>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</si>
  <si>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</si>
  <si>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</si>
  <si>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</si>
  <si>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</si>
  <si>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</si>
  <si>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</si>
  <si>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</si>
  <si>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</si>
  <si>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</si>
  <si>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</si>
  <si>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</si>
  <si>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</si>
  <si>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</si>
  <si>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</si>
  <si>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</si>
  <si>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</si>
  <si>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</si>
  <si>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</si>
  <si>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</si>
  <si>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</si>
  <si>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</si>
  <si>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</si>
  <si>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</si>
  <si>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</si>
  <si>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</si>
  <si>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</si>
  <si>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</si>
  <si>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</si>
  <si>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</si>
  <si>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</si>
  <si>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</si>
  <si>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</si>
  <si>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</si>
  <si>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</si>
  <si>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</si>
  <si>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</si>
  <si>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</si>
  <si>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</si>
  <si>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</si>
  <si>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</si>
  <si>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</si>
  <si>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</si>
  <si>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</si>
  <si>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</si>
  <si>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</si>
  <si>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</si>
  <si>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</si>
  <si>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</si>
  <si>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</si>
  <si>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</si>
  <si>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</si>
  <si>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</si>
  <si>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</si>
  <si>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</si>
  <si>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</si>
  <si>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</si>
  <si>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</si>
  <si>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</si>
  <si>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</si>
  <si>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</si>
  <si>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</si>
  <si>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</si>
  <si>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</si>
  <si>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</si>
  <si>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</si>
  <si>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</si>
  <si>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</si>
  <si>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</si>
  <si>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</si>
  <si>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</si>
  <si>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</si>
  <si>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</si>
  <si>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</si>
  <si>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</si>
  <si>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</si>
  <si>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</si>
  <si>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</si>
  <si>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</si>
  <si>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</si>
  <si>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</si>
  <si>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</si>
  <si>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</si>
  <si>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</si>
  <si>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</si>
  <si>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</si>
  <si>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</si>
  <si>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</si>
  <si>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</si>
  <si>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</si>
  <si>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</si>
  <si>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</si>
  <si>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</si>
  <si>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</si>
  <si>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</si>
  <si>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</si>
  <si>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</si>
  <si>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</si>
  <si>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</si>
  <si>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</si>
  <si>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</si>
  <si>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</si>
  <si>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</si>
  <si>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</si>
  <si>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</si>
  <si>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</si>
  <si>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</si>
  <si>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</si>
  <si>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</si>
  <si>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</si>
  <si>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</si>
  <si>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</si>
  <si>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</si>
  <si>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</si>
  <si>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</si>
  <si>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</si>
  <si>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</si>
  <si>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</si>
  <si>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</si>
  <si>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</si>
  <si>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</si>
  <si>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</si>
  <si>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</si>
  <si>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</si>
  <si>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</si>
  <si>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</si>
  <si>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</si>
  <si>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</si>
  <si>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</si>
  <si>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</si>
  <si>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</si>
  <si>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</si>
  <si>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</si>
  <si>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</si>
  <si>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</si>
  <si>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</si>
  <si>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</si>
  <si>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</si>
  <si>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</si>
  <si>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</si>
  <si>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</si>
  <si>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</si>
  <si>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</si>
  <si>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</si>
  <si>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</si>
  <si>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</si>
  <si>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</si>
  <si>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</si>
  <si>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</si>
  <si>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</si>
  <si>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</si>
  <si>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</si>
  <si>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</si>
  <si>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</si>
  <si>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</si>
  <si>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</si>
  <si>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</si>
  <si>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</si>
  <si>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</si>
  <si>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</si>
  <si>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</si>
  <si>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</si>
  <si>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</si>
  <si>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</si>
  <si>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</si>
  <si>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</si>
  <si>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</si>
  <si>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</si>
  <si>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</si>
  <si>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</si>
  <si>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</si>
  <si>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</si>
  <si>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</si>
  <si>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</si>
  <si>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</si>
  <si>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</si>
  <si>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</si>
  <si>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</si>
  <si>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</si>
  <si>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</si>
  <si>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</si>
  <si>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</si>
  <si>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</si>
  <si>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</si>
  <si>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</si>
  <si>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</si>
  <si>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</si>
  <si>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</si>
  <si>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</si>
  <si>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</si>
  <si>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</si>
  <si>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</si>
  <si>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</si>
  <si>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</si>
  <si>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</si>
  <si>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</si>
  <si>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</si>
  <si>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</si>
  <si>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</si>
  <si>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</si>
  <si>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</si>
  <si>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</si>
  <si>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</si>
  <si>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</si>
  <si>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</si>
  <si>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</si>
  <si>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</si>
  <si>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</si>
  <si>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</si>
  <si>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</si>
  <si>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</si>
  <si>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</si>
  <si>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</si>
  <si>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</si>
  <si>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</si>
  <si>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</si>
  <si>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</si>
  <si>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</si>
  <si>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</si>
  <si>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</si>
  <si>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</si>
  <si>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</si>
  <si>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</si>
  <si>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</si>
  <si>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</si>
  <si>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</si>
  <si>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</si>
  <si>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</si>
  <si>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</si>
  <si>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</si>
  <si>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</si>
  <si>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</si>
  <si>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</si>
  <si>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</si>
  <si>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</si>
  <si>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</si>
  <si>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</si>
  <si>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</si>
  <si>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</si>
  <si>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</si>
  <si>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</si>
  <si>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</si>
  <si>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</si>
  <si>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</si>
  <si>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</si>
  <si>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</si>
  <si>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</si>
  <si>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</si>
  <si>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</si>
  <si>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</si>
  <si>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</si>
  <si>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</si>
  <si>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</si>
  <si>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</si>
  <si>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</si>
  <si>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</si>
  <si>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</si>
  <si>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</si>
  <si>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</si>
  <si>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</si>
  <si>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</si>
  <si>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</si>
  <si>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</si>
  <si>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</si>
  <si>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</si>
  <si>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</si>
  <si>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</si>
  <si>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</si>
  <si>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</si>
  <si>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</si>
  <si>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</si>
  <si>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</si>
  <si>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</si>
  <si>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</si>
  <si>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</si>
  <si>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</si>
  <si>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</si>
  <si>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</si>
  <si>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</si>
  <si>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</si>
  <si>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</si>
  <si>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</si>
  <si>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</si>
  <si>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</si>
  <si>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</si>
  <si>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</si>
  <si>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</si>
  <si>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</si>
  <si>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</si>
  <si>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</si>
  <si>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</si>
  <si>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</si>
  <si>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</si>
  <si>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</si>
  <si>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</si>
  <si>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</si>
  <si>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</si>
  <si>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</si>
  <si>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</si>
  <si>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</si>
  <si>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</si>
  <si>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</si>
  <si>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</si>
  <si>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</si>
  <si>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</si>
  <si>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</si>
  <si>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</si>
  <si>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</si>
  <si>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</si>
  <si>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</si>
  <si>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</si>
  <si>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</si>
  <si>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</si>
  <si>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</si>
  <si>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</si>
  <si>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</si>
  <si>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</si>
  <si>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</si>
  <si>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</si>
  <si>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</si>
  <si>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</si>
  <si>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</si>
  <si>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</si>
  <si>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</si>
  <si>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</si>
  <si>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</si>
  <si>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</si>
  <si>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</si>
  <si>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</si>
  <si>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</si>
  <si>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</si>
  <si>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</si>
  <si>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</si>
  <si>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</si>
  <si>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</si>
  <si>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</si>
  <si>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</si>
  <si>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</si>
  <si>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</si>
  <si>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</si>
  <si>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</si>
  <si>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</si>
  <si>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</si>
  <si>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</si>
  <si>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</si>
  <si>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</si>
  <si>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</si>
  <si>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</si>
  <si>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</si>
  <si>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</si>
  <si>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</si>
  <si>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</si>
  <si>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</si>
  <si>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</si>
  <si>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</si>
  <si>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</si>
  <si>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</si>
  <si>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</si>
  <si>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</si>
  <si>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</si>
  <si>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</si>
  <si>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</si>
  <si>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</si>
  <si>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</si>
  <si>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</si>
  <si>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</si>
  <si>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</si>
  <si>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</si>
  <si>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</si>
  <si>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</si>
  <si>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</si>
  <si>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</si>
  <si>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</si>
  <si>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</si>
  <si>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</si>
  <si>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</si>
  <si>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</si>
  <si>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</si>
  <si>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</si>
  <si>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</si>
  <si>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</si>
  <si>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</si>
  <si>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</si>
  <si>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</si>
  <si>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</si>
  <si>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</si>
  <si>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</si>
  <si>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</si>
  <si>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</si>
  <si>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</si>
  <si>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</si>
  <si>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</si>
  <si>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</si>
  <si>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</si>
  <si>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</si>
  <si>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</si>
  <si>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</si>
  <si>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</si>
  <si>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</si>
  <si>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</si>
  <si>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</si>
  <si>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</si>
  <si>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</si>
  <si>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</si>
  <si>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</si>
  <si>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</si>
  <si>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</si>
  <si>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</si>
  <si>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</si>
  <si>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</si>
  <si>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</si>
  <si>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</si>
  <si>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</si>
  <si>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</si>
  <si>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</si>
  <si>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</si>
  <si>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</si>
  <si>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</si>
  <si>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</si>
  <si>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</si>
  <si>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</si>
  <si>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</si>
  <si>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</si>
  <si>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</si>
  <si>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</si>
  <si>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</si>
  <si>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</si>
  <si>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</si>
  <si>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</si>
  <si>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</si>
  <si>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</si>
  <si>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</si>
  <si>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</si>
  <si>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</si>
  <si>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</si>
  <si>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</si>
  <si>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</si>
  <si>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</si>
  <si>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</si>
  <si>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</si>
  <si>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</si>
  <si>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</si>
  <si>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</si>
  <si>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</si>
  <si>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</si>
  <si>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</si>
  <si>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</si>
  <si>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</si>
  <si>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</si>
  <si>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</si>
  <si>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</si>
  <si>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</si>
  <si>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</si>
  <si>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</si>
  <si>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</si>
  <si>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</si>
  <si>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</si>
  <si>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</si>
  <si>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</si>
  <si>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</si>
  <si>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</si>
  <si>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</si>
  <si>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</si>
  <si>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</si>
  <si>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</si>
  <si>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</si>
  <si>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</si>
  <si>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</si>
  <si>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</si>
  <si>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</si>
  <si>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</si>
  <si>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</si>
  <si>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</si>
  <si>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</si>
  <si>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</si>
  <si>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</si>
  <si>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</si>
  <si>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</si>
  <si>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</si>
  <si>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</si>
  <si>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</si>
  <si>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</si>
  <si>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</si>
  <si>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</si>
  <si>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</si>
  <si>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</si>
  <si>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</si>
  <si>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</si>
  <si>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</si>
  <si>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</si>
  <si>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</si>
  <si>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</si>
  <si>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</si>
  <si>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</si>
  <si>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</si>
  <si>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</si>
  <si>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</si>
  <si>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</si>
  <si>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</si>
  <si>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</si>
  <si>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</si>
  <si>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</si>
  <si>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</si>
  <si>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</si>
  <si>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</si>
  <si>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</si>
  <si>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</si>
  <si>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</si>
  <si>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</si>
  <si>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</si>
  <si>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</si>
  <si>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</si>
  <si>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</si>
  <si>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</si>
  <si>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</si>
  <si>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</si>
  <si>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</si>
  <si>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</si>
  <si>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</si>
  <si>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</si>
  <si>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</si>
  <si>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</si>
  <si>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</si>
  <si>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</si>
  <si>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</si>
  <si>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</si>
  <si>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</si>
  <si>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</si>
  <si>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</si>
  <si>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</si>
  <si>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</si>
  <si>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</si>
  <si>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</si>
  <si>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</si>
  <si>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</si>
  <si>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</si>
  <si>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</si>
  <si>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</si>
  <si>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</si>
  <si>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</si>
  <si>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</si>
  <si>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</si>
  <si>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</si>
  <si>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</si>
  <si>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</si>
  <si>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</si>
  <si>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</si>
  <si>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</si>
  <si>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</si>
  <si>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</si>
  <si>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</si>
  <si>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</si>
  <si>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</si>
  <si>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</si>
  <si>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</si>
  <si>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</si>
  <si>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</si>
  <si>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</si>
  <si>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</si>
  <si>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</si>
  <si>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</si>
  <si>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</si>
  <si>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</si>
  <si>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</si>
  <si>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</si>
  <si>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</si>
  <si>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</si>
  <si>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</si>
  <si>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</si>
  <si>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</si>
  <si>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</si>
  <si>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</si>
  <si>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</si>
  <si>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</si>
  <si>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</si>
  <si>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</si>
  <si>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</si>
  <si>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</si>
  <si>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</si>
  <si>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</si>
  <si>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</si>
  <si>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</si>
  <si>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</si>
  <si>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</si>
  <si>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</si>
  <si>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</si>
  <si>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</si>
  <si>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</si>
  <si>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</si>
  <si>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</si>
  <si>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</si>
  <si>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</si>
  <si>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</si>
  <si>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</si>
  <si>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</si>
  <si>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</si>
  <si>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</si>
  <si>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</si>
  <si>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</si>
  <si>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</si>
  <si>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</si>
  <si>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</si>
  <si>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</si>
  <si>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</si>
  <si>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</si>
  <si>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</si>
  <si>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</si>
  <si>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</si>
  <si>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</si>
  <si>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</si>
  <si>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</si>
  <si>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</si>
  <si>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</si>
  <si>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</si>
  <si>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</si>
  <si>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</si>
  <si>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</si>
  <si>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</si>
  <si>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</si>
  <si>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</si>
  <si>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</si>
  <si>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</si>
  <si>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</si>
  <si>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</si>
  <si>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</si>
  <si>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</si>
  <si>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</si>
  <si>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</si>
  <si>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</si>
  <si>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</si>
  <si>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</si>
  <si>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</si>
  <si>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</si>
  <si>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</si>
  <si>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</si>
  <si>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</si>
  <si>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</si>
  <si>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</si>
  <si>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</si>
  <si>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</si>
  <si>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</si>
  <si>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</si>
  <si>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</si>
  <si>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</si>
  <si>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</si>
  <si>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</si>
  <si>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</si>
  <si>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</si>
  <si>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</si>
  <si>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</si>
  <si>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</si>
  <si>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</si>
  <si>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</si>
  <si>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</si>
  <si>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</si>
  <si>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</si>
  <si>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</si>
  <si>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</si>
  <si>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</si>
  <si>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</si>
  <si>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</si>
  <si>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</si>
  <si>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</si>
  <si>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</si>
  <si>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</si>
  <si>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</si>
  <si>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</si>
  <si>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</si>
  <si>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</si>
  <si>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</si>
  <si>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</si>
  <si>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</si>
  <si>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</si>
  <si>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</si>
  <si>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</si>
  <si>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</si>
  <si>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</si>
  <si>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</si>
  <si>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</si>
  <si>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</si>
  <si>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</si>
  <si>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</si>
  <si>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</si>
  <si>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</si>
  <si>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</si>
  <si>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</si>
  <si>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</si>
  <si>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</si>
  <si>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</si>
  <si>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</si>
  <si>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</si>
  <si>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</si>
  <si>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</si>
  <si>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</si>
  <si>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</si>
  <si>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</si>
  <si>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</si>
  <si>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</si>
  <si>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</si>
  <si>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</si>
  <si>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</si>
  <si>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</si>
  <si>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</si>
  <si>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</si>
  <si>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</si>
  <si>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</si>
  <si>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</si>
  <si>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</si>
  <si>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</si>
  <si>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</si>
  <si>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</si>
  <si>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</si>
  <si>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</si>
  <si>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</si>
  <si>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</si>
  <si>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</si>
  <si>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</si>
  <si>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</si>
  <si>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</si>
  <si>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</si>
  <si>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</si>
  <si>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</si>
  <si>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</si>
  <si>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</si>
  <si>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</si>
  <si>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</si>
  <si>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</si>
  <si>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</si>
  <si>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</si>
  <si>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</si>
  <si>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</si>
  <si>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</si>
  <si>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</si>
  <si>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</si>
  <si>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</si>
  <si>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</si>
  <si>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</si>
  <si>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</si>
  <si>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</si>
  <si>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</si>
  <si>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</si>
  <si>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</si>
  <si>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</si>
  <si>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</si>
  <si>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</si>
  <si>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</si>
  <si>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</si>
  <si>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</si>
  <si>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</si>
  <si>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</si>
  <si>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</si>
  <si>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</si>
  <si>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</si>
  <si>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</si>
  <si>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</si>
  <si>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</si>
  <si>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</si>
  <si>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</si>
  <si>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</si>
  <si>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</si>
  <si>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</si>
  <si>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</si>
  <si>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</si>
  <si>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</si>
  <si>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</si>
  <si>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</si>
  <si>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</si>
  <si>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</si>
  <si>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</si>
  <si>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</si>
  <si>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</si>
  <si>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</si>
  <si>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</si>
  <si>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</si>
  <si>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</si>
  <si>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</si>
  <si>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</si>
  <si>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</si>
  <si>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</si>
  <si>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</si>
  <si>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</si>
  <si>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</si>
  <si>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</si>
  <si>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</si>
  <si>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</si>
  <si>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</si>
  <si>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</si>
  <si>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</si>
  <si>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</si>
  <si>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</si>
  <si>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</si>
  <si>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</si>
  <si>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</si>
  <si>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</si>
  <si>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</si>
  <si>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</si>
  <si>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</si>
  <si>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</si>
  <si>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</si>
  <si>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</si>
  <si>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</si>
  <si>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</si>
  <si>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</si>
  <si>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</si>
  <si>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</si>
  <si>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</si>
  <si>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</si>
  <si>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</si>
  <si>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</si>
  <si>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</si>
  <si>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</si>
  <si>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</si>
  <si>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</si>
  <si>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</si>
  <si>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</si>
  <si>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</si>
  <si>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</si>
  <si>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</si>
  <si>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</si>
  <si>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</si>
  <si>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</si>
  <si>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</si>
  <si>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</si>
  <si>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</si>
  <si>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</si>
  <si>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</si>
  <si>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</si>
  <si>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</si>
  <si>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</si>
  <si>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</si>
  <si>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</si>
  <si>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</si>
  <si>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</si>
  <si>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</si>
  <si>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</si>
  <si>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</si>
  <si>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</si>
  <si>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</si>
  <si>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</si>
  <si>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</si>
  <si>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</si>
  <si>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</si>
  <si>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</si>
  <si>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</si>
  <si>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</si>
  <si>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</si>
  <si>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</si>
  <si>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</si>
  <si>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</si>
  <si>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</si>
  <si>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</si>
  <si>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</si>
  <si>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</si>
  <si>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</si>
  <si>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</si>
  <si>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</si>
  <si>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</si>
  <si>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</si>
  <si>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</si>
  <si>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</si>
  <si>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</si>
  <si>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</si>
  <si>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</si>
  <si>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</si>
  <si>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</si>
  <si>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</si>
  <si>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</si>
  <si>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</si>
  <si>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</si>
  <si>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</si>
  <si>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</si>
  <si>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</si>
  <si>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</si>
  <si>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</si>
  <si>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</si>
  <si>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</si>
  <si>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</si>
  <si>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</si>
  <si>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</si>
  <si>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</si>
  <si>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</si>
  <si>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</si>
  <si>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</si>
  <si>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</si>
  <si>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</si>
  <si>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</si>
  <si>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</si>
  <si>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</si>
  <si>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</si>
  <si>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</si>
  <si>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</si>
  <si>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</si>
  <si>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</si>
  <si>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</si>
  <si>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</si>
  <si>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</si>
  <si>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</si>
  <si>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</si>
  <si>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</si>
  <si>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</si>
  <si>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</si>
  <si>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</si>
  <si>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</si>
  <si>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</si>
  <si>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</si>
  <si>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</si>
  <si>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</si>
  <si>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</si>
  <si>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</si>
  <si>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</si>
  <si>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</si>
  <si>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</si>
  <si>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</si>
  <si>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</si>
  <si>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</si>
  <si>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</si>
  <si>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</si>
  <si>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</si>
  <si>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</si>
  <si>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</si>
  <si>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</si>
  <si>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</si>
  <si>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</si>
  <si>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</si>
  <si>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</si>
  <si>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</si>
  <si>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</si>
  <si>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</si>
  <si>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</si>
  <si>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</si>
  <si>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</si>
  <si>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</si>
  <si>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</si>
  <si>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</si>
  <si>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</si>
  <si>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</si>
  <si>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</si>
  <si>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</si>
  <si>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</si>
  <si>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</si>
  <si>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</si>
  <si>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</si>
  <si>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</si>
  <si>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</si>
  <si>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</si>
  <si>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</si>
  <si>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</si>
  <si>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</si>
  <si>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</si>
  <si>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</si>
  <si>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</si>
  <si>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</si>
  <si>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</si>
  <si>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</si>
  <si>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</si>
  <si>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</si>
  <si>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</si>
  <si>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</si>
  <si>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</si>
  <si>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</si>
  <si>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</si>
  <si>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</si>
  <si>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</si>
  <si>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</si>
  <si>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</si>
  <si>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</si>
  <si>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</si>
  <si>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</si>
  <si>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</si>
  <si>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</si>
  <si>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</si>
  <si>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</si>
  <si>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</si>
  <si>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</si>
  <si>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</si>
  <si>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</si>
  <si>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</si>
  <si>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</si>
  <si>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</si>
  <si>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</si>
  <si>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</si>
  <si>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</si>
  <si>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</si>
  <si>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</si>
  <si>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</si>
  <si>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</si>
  <si>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</si>
  <si>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</si>
  <si>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</si>
  <si>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</si>
  <si>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</si>
  <si>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</si>
  <si>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</si>
  <si>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</si>
  <si>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</si>
  <si>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</si>
  <si>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</si>
  <si>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</si>
  <si>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</si>
  <si>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</si>
  <si>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</si>
  <si>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</si>
  <si>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</si>
  <si>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</si>
  <si>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</si>
  <si>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</si>
  <si>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</si>
  <si>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</si>
  <si>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</si>
  <si>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</si>
  <si>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</si>
  <si>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</si>
  <si>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</si>
  <si>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</si>
  <si>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</si>
  <si>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</si>
  <si>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</si>
  <si>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</si>
  <si>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</si>
  <si>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</si>
  <si>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</si>
  <si>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</si>
  <si>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</si>
  <si>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</si>
  <si>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</si>
  <si>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</si>
  <si>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</si>
  <si>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</si>
  <si>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</si>
  <si>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</si>
  <si>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</si>
  <si>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</si>
  <si>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</si>
  <si>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</si>
  <si>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</si>
  <si>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</si>
  <si>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</si>
  <si>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</si>
  <si>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</si>
  <si>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</si>
  <si>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</si>
  <si>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</si>
  <si>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</si>
  <si>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</si>
  <si>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</si>
  <si>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</si>
  <si>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</si>
  <si>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</si>
  <si>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</si>
  <si>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</si>
  <si>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</si>
  <si>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</si>
  <si>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</si>
  <si>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</si>
  <si>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</si>
  <si>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</si>
  <si>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</si>
  <si>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</si>
  <si>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</si>
  <si>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</si>
  <si>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</si>
  <si>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</si>
  <si>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</si>
  <si>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</si>
  <si>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</si>
  <si>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</si>
  <si>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</si>
  <si>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</si>
  <si>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</si>
  <si>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</si>
  <si>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</si>
  <si>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</si>
  <si>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</si>
  <si>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</si>
  <si>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</si>
  <si>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</si>
  <si>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</si>
  <si>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</si>
  <si>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</si>
  <si>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</si>
  <si>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</si>
  <si>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</si>
  <si>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</si>
  <si>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</si>
  <si>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</si>
  <si>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</si>
  <si>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</si>
  <si>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</si>
  <si>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</si>
  <si>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</si>
  <si>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</si>
  <si>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</si>
  <si>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</si>
  <si>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</si>
  <si>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</si>
  <si>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</si>
  <si>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</si>
  <si>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</si>
  <si>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</si>
  <si>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</si>
  <si>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</si>
  <si>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</si>
  <si>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</si>
  <si>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</si>
  <si>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</si>
  <si>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</si>
  <si>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</si>
  <si>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</si>
  <si>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</si>
  <si>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</si>
  <si>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</si>
  <si>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</si>
  <si>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</si>
  <si>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</si>
  <si>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</si>
  <si>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</si>
  <si>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</si>
  <si>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</si>
  <si>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</si>
  <si>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</si>
  <si>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</si>
  <si>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</si>
  <si>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</si>
  <si>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</si>
  <si>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</si>
  <si>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</si>
  <si>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</si>
  <si>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</si>
  <si>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</si>
  <si>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</si>
  <si>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</si>
  <si>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</si>
  <si>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</si>
  <si>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</si>
  <si>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</si>
  <si>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</si>
  <si>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</si>
  <si>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</si>
  <si>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</si>
  <si>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</si>
  <si>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</si>
  <si>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</si>
  <si>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</si>
  <si>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</si>
  <si>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</si>
  <si>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</si>
  <si>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</si>
  <si>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</si>
  <si>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</si>
  <si>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</si>
  <si>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</si>
  <si>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</si>
  <si>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</si>
  <si>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</si>
  <si>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</si>
  <si>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</si>
  <si>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</si>
  <si>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</si>
  <si>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</si>
  <si>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</si>
  <si>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</si>
  <si>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</si>
  <si>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</si>
  <si>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</si>
  <si>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</si>
  <si>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</si>
  <si>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</si>
  <si>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</si>
  <si>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</si>
  <si>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</si>
  <si>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</si>
  <si>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</si>
  <si>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</si>
  <si>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</si>
  <si>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</si>
  <si>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</si>
  <si>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</si>
  <si>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</si>
  <si>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</si>
  <si>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</si>
  <si>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</si>
  <si>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</si>
  <si>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</si>
  <si>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</si>
  <si>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</si>
  <si>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</si>
  <si>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</si>
  <si>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</si>
  <si>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</si>
  <si>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</si>
  <si>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</si>
  <si>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</si>
  <si>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</si>
  <si>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</si>
  <si>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</si>
  <si>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</si>
  <si>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</si>
  <si>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</si>
  <si>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</si>
  <si>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</si>
  <si>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</si>
  <si>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</si>
  <si>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</si>
  <si>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</si>
  <si>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</si>
  <si>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</si>
  <si>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</si>
  <si>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</si>
  <si>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</si>
  <si>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</si>
  <si>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</si>
  <si>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</si>
  <si>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</si>
  <si>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</si>
  <si>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</si>
  <si>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</si>
  <si>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</si>
  <si>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</si>
  <si>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</si>
  <si>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</si>
  <si>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</si>
  <si>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</si>
  <si>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</si>
  <si>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</si>
  <si>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</si>
  <si>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</si>
  <si>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</si>
  <si>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</si>
  <si>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</si>
  <si>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</si>
  <si>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</si>
  <si>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</si>
  <si>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</si>
  <si>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</si>
  <si>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</si>
  <si>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</si>
  <si>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</si>
  <si>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</si>
  <si>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</si>
  <si>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</si>
  <si>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</si>
  <si>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</si>
  <si>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</si>
  <si>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</si>
  <si>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</si>
  <si>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</si>
  <si>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</si>
  <si>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</si>
  <si>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</si>
  <si>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</si>
  <si>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</si>
  <si>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</si>
  <si>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</si>
  <si>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</si>
  <si>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</si>
  <si>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</si>
  <si>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</si>
  <si>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</si>
  <si>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</si>
  <si>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</si>
  <si>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</si>
  <si>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</si>
  <si>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</si>
  <si>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</si>
  <si>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</si>
  <si>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</si>
  <si>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</si>
  <si>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</si>
  <si>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</si>
  <si>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</si>
  <si>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</si>
  <si>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</si>
  <si>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</si>
  <si>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</si>
  <si>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</si>
  <si>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</si>
  <si>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</si>
  <si>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</si>
  <si>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</si>
  <si>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</si>
  <si>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</si>
  <si>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</si>
  <si>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</si>
  <si>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</si>
  <si>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</si>
  <si>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</si>
  <si>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</si>
  <si>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</si>
  <si>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</si>
  <si>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</si>
  <si>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</si>
  <si>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</si>
  <si>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</si>
  <si>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</si>
  <si>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</si>
  <si>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</si>
  <si>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</si>
  <si>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</si>
  <si>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</si>
  <si>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</si>
  <si>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</si>
  <si>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</si>
  <si>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</si>
  <si>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</si>
  <si>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</si>
  <si>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</si>
  <si>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</si>
  <si>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</si>
  <si>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</si>
  <si>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</si>
  <si>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</si>
  <si>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</si>
  <si>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</si>
  <si>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</si>
  <si>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</si>
  <si>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</si>
  <si>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</si>
  <si>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</si>
  <si>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</si>
  <si>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</si>
  <si>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</si>
  <si>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</si>
  <si>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</si>
  <si>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</si>
  <si>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</si>
  <si>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</si>
  <si>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</si>
  <si>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</si>
  <si>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</si>
  <si>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</si>
  <si>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</si>
  <si>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</si>
  <si>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</si>
  <si>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</si>
  <si>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</si>
  <si>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</si>
  <si>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</si>
  <si>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</si>
  <si>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</si>
  <si>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</si>
  <si>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</si>
  <si>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</si>
  <si>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</si>
  <si>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</si>
  <si>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</si>
  <si>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</si>
  <si>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</si>
  <si>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</si>
  <si>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</si>
  <si>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</si>
  <si>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</si>
  <si>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</si>
  <si>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</si>
  <si>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</si>
  <si>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</si>
  <si>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</si>
  <si>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</si>
  <si>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</si>
  <si>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</si>
  <si>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</si>
  <si>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</si>
  <si>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</si>
  <si>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</si>
  <si>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</si>
  <si>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</si>
  <si>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</si>
  <si>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</si>
  <si>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</si>
  <si>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</si>
  <si>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</si>
  <si>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</si>
  <si>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</si>
  <si>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</si>
  <si>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</si>
  <si>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</si>
  <si>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</si>
  <si>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</si>
  <si>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</si>
  <si>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</si>
  <si>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</si>
  <si>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</si>
  <si>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</si>
  <si>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</si>
  <si>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</si>
  <si>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</si>
  <si>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</si>
  <si>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</si>
  <si>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</si>
  <si>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</si>
  <si>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</si>
  <si>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</si>
  <si>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</si>
  <si>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</si>
  <si>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</si>
  <si>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</si>
  <si>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</si>
  <si>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</si>
  <si>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</si>
  <si>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</si>
  <si>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</si>
  <si>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</si>
  <si>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</si>
  <si>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</si>
  <si>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</si>
  <si>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</si>
  <si>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</si>
  <si>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</si>
  <si>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</si>
  <si>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</si>
  <si>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</si>
  <si>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</si>
  <si>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</si>
  <si>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</si>
  <si>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</si>
  <si>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</si>
  <si>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</si>
  <si>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</si>
  <si>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</si>
  <si>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</si>
  <si>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</si>
  <si>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</si>
  <si>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</si>
  <si>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</si>
  <si>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</si>
  <si>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</si>
  <si>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</si>
  <si>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</si>
  <si>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</si>
  <si>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</si>
  <si>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</si>
  <si>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</si>
  <si>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</si>
  <si>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</si>
  <si>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</si>
  <si>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</si>
  <si>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</si>
  <si>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</si>
  <si>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</si>
  <si>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</si>
  <si>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</si>
  <si>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</si>
  <si>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</si>
  <si>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</si>
  <si>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</si>
  <si>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</si>
  <si>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</si>
  <si>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</si>
  <si>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</si>
  <si>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</si>
  <si>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</si>
  <si>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</si>
  <si>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</si>
  <si>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</si>
  <si>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</si>
  <si>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</si>
  <si>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</si>
  <si>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</si>
  <si>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</si>
  <si>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</si>
  <si>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</si>
  <si>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</si>
  <si>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</si>
  <si>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</si>
  <si>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</si>
  <si>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</si>
  <si>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</si>
  <si>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</si>
  <si>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</si>
  <si>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</si>
  <si>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</si>
  <si>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</si>
  <si>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</si>
  <si>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</si>
  <si>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</si>
  <si>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</si>
  <si>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</si>
  <si>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</si>
  <si>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</si>
  <si>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</si>
  <si>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</si>
  <si>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</si>
  <si>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</si>
  <si>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</si>
  <si>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</si>
  <si>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</si>
  <si>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</si>
  <si>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</si>
  <si>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</si>
  <si>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</si>
  <si>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</si>
  <si>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</si>
  <si>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</si>
  <si>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</si>
  <si>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</si>
  <si>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</si>
  <si>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</si>
  <si>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</si>
  <si>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</si>
  <si>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</si>
  <si>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</si>
  <si>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</si>
  <si>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</si>
  <si>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</si>
  <si>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</si>
  <si>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</si>
  <si>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</si>
  <si>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</si>
  <si>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</si>
  <si>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</si>
  <si>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</si>
  <si>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</si>
  <si>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</si>
  <si>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</si>
  <si>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</si>
  <si>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</si>
  <si>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</si>
  <si>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</si>
  <si>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</si>
  <si>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</si>
  <si>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</si>
  <si>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</si>
  <si>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</si>
  <si>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</si>
  <si>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</si>
  <si>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</si>
  <si>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</si>
  <si>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</si>
  <si>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</si>
  <si>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</si>
  <si>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</si>
  <si>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</si>
  <si>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</si>
  <si>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</si>
  <si>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</si>
  <si>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</si>
  <si>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</si>
  <si>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</si>
  <si>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</si>
  <si>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</si>
  <si>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</si>
  <si>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</si>
  <si>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</si>
  <si>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</si>
  <si>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</si>
  <si>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</si>
  <si>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</si>
  <si>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</si>
  <si>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</si>
  <si>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</si>
  <si>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</si>
  <si>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</si>
  <si>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</si>
  <si>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</si>
  <si>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</si>
  <si>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</si>
  <si>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</si>
  <si>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</si>
  <si>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</si>
  <si>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</si>
  <si>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</si>
  <si>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</si>
  <si>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</si>
  <si>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</si>
  <si>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</si>
  <si>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</si>
  <si>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</si>
  <si>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</si>
  <si>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</si>
  <si>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</si>
  <si>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</si>
  <si>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</si>
  <si>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</si>
  <si>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</si>
  <si>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</si>
  <si>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</si>
  <si>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</si>
  <si>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</si>
  <si>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</si>
  <si>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</si>
  <si>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</si>
  <si>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</si>
  <si>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</si>
  <si>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</si>
  <si>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</si>
  <si>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</si>
  <si>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</si>
  <si>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</si>
  <si>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</si>
  <si>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</si>
  <si>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</si>
  <si>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</si>
  <si>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</si>
  <si>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</si>
  <si>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</si>
  <si>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</si>
  <si>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</si>
  <si>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</si>
  <si>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</si>
  <si>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</si>
  <si>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</si>
  <si>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</si>
  <si>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</si>
  <si>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</si>
  <si>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</si>
  <si>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</si>
  <si>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</si>
  <si>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</si>
  <si>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</si>
  <si>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</si>
  <si>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</si>
  <si>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</si>
  <si>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</si>
  <si>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</si>
  <si>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</si>
  <si>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</si>
  <si>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</si>
  <si>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</si>
  <si>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</si>
  <si>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</si>
  <si>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</si>
  <si>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</si>
  <si>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</si>
  <si>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</si>
  <si>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</si>
  <si>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</si>
  <si>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</si>
  <si>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</si>
  <si>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</si>
  <si>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</si>
  <si>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</si>
  <si>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</si>
  <si>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</si>
  <si>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</si>
  <si>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</si>
  <si>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</si>
  <si>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</si>
  <si>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</si>
  <si>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</si>
  <si>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</si>
  <si>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</si>
  <si>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</si>
  <si>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</si>
  <si>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</si>
  <si>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</si>
  <si>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</si>
  <si>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</si>
  <si>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</si>
  <si>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</si>
  <si>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</si>
  <si>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</si>
  <si>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</si>
  <si>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</si>
  <si>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</si>
  <si>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</si>
  <si>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</si>
  <si>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</si>
  <si>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</si>
  <si>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</si>
  <si>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</si>
  <si>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</si>
  <si>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</si>
  <si>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</si>
  <si>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</si>
  <si>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</si>
  <si>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</si>
  <si>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</si>
  <si>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</si>
  <si>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</si>
  <si>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</si>
  <si>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</si>
  <si>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</si>
  <si>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</si>
  <si>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</si>
  <si>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</si>
  <si>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</si>
  <si>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</si>
  <si>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</si>
  <si>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</si>
  <si>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</si>
  <si>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</si>
  <si>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</si>
  <si>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</si>
  <si>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</si>
  <si>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</si>
  <si>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</si>
  <si>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</si>
  <si>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</si>
  <si>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</si>
  <si>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</si>
  <si>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</si>
  <si>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</si>
  <si>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</si>
  <si>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</si>
  <si>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</si>
  <si>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</si>
  <si>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</si>
  <si>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</si>
  <si>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</si>
  <si>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</si>
  <si>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</si>
  <si>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</si>
  <si>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</si>
  <si>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</si>
  <si>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</si>
  <si>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</si>
  <si>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</si>
  <si>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</si>
  <si>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</si>
  <si>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</si>
  <si>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</si>
  <si>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</si>
  <si>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</si>
  <si>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</si>
  <si>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</si>
  <si>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</si>
  <si>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</si>
  <si>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</si>
  <si>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</si>
  <si>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</si>
  <si>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</si>
  <si>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</si>
  <si>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</si>
  <si>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</si>
  <si>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</si>
  <si>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</si>
  <si>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</si>
  <si>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</si>
  <si>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</si>
  <si>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</si>
  <si>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</si>
  <si>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</si>
  <si>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</si>
  <si>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</si>
  <si>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</si>
  <si>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</si>
  <si>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</si>
  <si>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</si>
  <si>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</si>
  <si>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</si>
  <si>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</si>
  <si>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</si>
  <si>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</si>
  <si>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</si>
  <si>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</si>
  <si>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</si>
  <si>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</si>
  <si>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</si>
  <si>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</si>
  <si>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</si>
  <si>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</si>
  <si>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</si>
  <si>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</si>
  <si>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</si>
  <si>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</si>
  <si>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</si>
  <si>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</si>
  <si>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</si>
  <si>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</si>
  <si>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</si>
  <si>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</si>
  <si>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</si>
  <si>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</si>
  <si>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</si>
  <si>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</si>
  <si>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</si>
  <si>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</si>
  <si>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</si>
  <si>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</si>
  <si>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</si>
  <si>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</si>
  <si>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</si>
  <si>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</si>
  <si>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</si>
  <si>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</si>
  <si>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</si>
  <si>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</si>
  <si>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</si>
  <si>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</si>
  <si>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</si>
  <si>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</si>
  <si>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</si>
  <si>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</si>
  <si>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</si>
  <si>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</si>
  <si>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</si>
  <si>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</si>
  <si>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</si>
  <si>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</si>
  <si>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</si>
  <si>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</si>
  <si>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</si>
  <si>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</si>
  <si>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</si>
  <si>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</si>
  <si>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</si>
  <si>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</si>
  <si>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</si>
  <si>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</si>
  <si>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</si>
  <si>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</si>
  <si>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</si>
  <si>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</si>
  <si>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</si>
  <si>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</si>
  <si>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</si>
  <si>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</si>
  <si>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</si>
  <si>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</si>
  <si>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</si>
  <si>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</si>
  <si>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</si>
  <si>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</si>
  <si>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</si>
  <si>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</si>
  <si>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</si>
  <si>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</si>
  <si>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</si>
  <si>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</si>
  <si>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</si>
  <si>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</si>
  <si>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</si>
  <si>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</si>
  <si>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</si>
  <si>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</si>
  <si>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</si>
  <si>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</si>
  <si>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</si>
  <si>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</si>
  <si>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</si>
  <si>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</si>
  <si>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</si>
  <si>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</si>
  <si>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</si>
  <si>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</si>
  <si>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</si>
  <si>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</si>
  <si>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</si>
  <si>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</si>
  <si>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</si>
  <si>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</si>
  <si>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</si>
  <si>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</si>
  <si>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</si>
  <si>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</si>
  <si>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</si>
  <si>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</si>
  <si>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</si>
  <si>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</si>
  <si>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</si>
  <si>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</si>
  <si>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</si>
  <si>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</si>
  <si>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</si>
  <si>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</si>
  <si>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</si>
  <si>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</si>
  <si>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</si>
  <si>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</si>
  <si>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</si>
  <si>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</si>
  <si>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</si>
  <si>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</si>
  <si>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</si>
  <si>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</si>
  <si>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</si>
  <si>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</si>
  <si>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</si>
  <si>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</si>
  <si>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</si>
  <si>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</si>
  <si>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</si>
  <si>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</si>
  <si>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</si>
  <si>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</si>
  <si>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</si>
  <si>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</si>
  <si>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</si>
  <si>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</si>
  <si>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</si>
  <si>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</si>
  <si>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</si>
  <si>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</si>
  <si>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</si>
  <si>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</si>
  <si>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</si>
  <si>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</si>
  <si>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</si>
  <si>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</si>
  <si>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</si>
  <si>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</si>
  <si>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</si>
  <si>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</si>
  <si>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</si>
  <si>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</si>
  <si>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</si>
  <si>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</si>
  <si>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</si>
  <si>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</si>
  <si>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</si>
  <si>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</si>
  <si>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</si>
  <si>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</si>
  <si>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</si>
  <si>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</si>
  <si>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</si>
  <si>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</si>
  <si>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</si>
  <si>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</si>
  <si>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</si>
  <si>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</si>
  <si>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</si>
  <si>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</si>
  <si>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</si>
  <si>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</si>
  <si>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</si>
  <si>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</si>
  <si>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</si>
  <si>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</si>
  <si>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</si>
  <si>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</si>
  <si>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</si>
  <si>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</si>
  <si>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</si>
  <si>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</si>
  <si>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</si>
  <si>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</si>
  <si>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</si>
  <si>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</si>
  <si>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</si>
  <si>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</si>
  <si>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</si>
  <si>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</si>
  <si>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</si>
  <si>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</si>
  <si>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</si>
  <si>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</si>
  <si>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</si>
  <si>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</si>
  <si>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</si>
  <si>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</si>
  <si>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</si>
  <si>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</si>
  <si>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</si>
  <si>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</si>
  <si>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</si>
  <si>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</si>
  <si>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</si>
  <si>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</si>
  <si>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</si>
  <si>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</si>
  <si>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</si>
  <si>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</si>
  <si>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</si>
  <si>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</si>
  <si>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</si>
  <si>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</si>
  <si>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</si>
  <si>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</si>
  <si>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</si>
  <si>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</si>
  <si>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</si>
  <si>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</si>
  <si>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</si>
  <si>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</si>
  <si>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</si>
  <si>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</si>
  <si>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</si>
  <si>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</si>
  <si>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</si>
  <si>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</si>
  <si>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</si>
  <si>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</si>
  <si>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</si>
  <si>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</si>
  <si>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</si>
  <si>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</si>
  <si>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</si>
  <si>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</si>
  <si>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</si>
  <si>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</si>
  <si>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</si>
  <si>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</si>
  <si>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</si>
  <si>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</si>
  <si>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</si>
  <si>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</si>
  <si>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</si>
  <si>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</si>
  <si>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</si>
  <si>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</si>
  <si>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</si>
  <si>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</si>
  <si>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</si>
  <si>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</si>
  <si>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</si>
  <si>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</si>
  <si>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</si>
  <si>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</si>
  <si>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</si>
  <si>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</si>
  <si>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</si>
  <si>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</si>
  <si>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</si>
  <si>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</si>
  <si>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</si>
  <si>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</si>
  <si>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</si>
  <si>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</si>
  <si>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</si>
  <si>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</si>
  <si>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</si>
  <si>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</si>
  <si>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</si>
  <si>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</si>
  <si>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</si>
  <si>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</si>
  <si>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</si>
  <si>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</si>
  <si>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</si>
  <si>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</si>
  <si>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</si>
  <si>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</si>
  <si>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</si>
  <si>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</si>
  <si>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</si>
  <si>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</si>
  <si>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</si>
  <si>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</si>
  <si>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</si>
  <si>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</si>
  <si>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</si>
  <si>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</si>
  <si>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</si>
  <si>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</si>
  <si>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</si>
  <si>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</si>
  <si>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</si>
  <si>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</si>
  <si>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</si>
  <si>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</si>
  <si>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</si>
  <si>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</si>
  <si>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</si>
  <si>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</si>
  <si>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</si>
  <si>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</si>
  <si>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</si>
  <si>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</si>
  <si>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</si>
  <si>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</si>
  <si>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</si>
  <si>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</si>
  <si>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</si>
  <si>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</si>
  <si>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</si>
  <si>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</si>
  <si>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</si>
  <si>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</si>
  <si>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</si>
  <si>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</si>
  <si>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</si>
  <si>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</si>
  <si>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</si>
  <si>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</si>
  <si>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</si>
  <si>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</si>
  <si>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</si>
  <si>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</si>
  <si>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</si>
  <si>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</si>
  <si>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</si>
  <si>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</si>
  <si>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</si>
  <si>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</si>
  <si>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</si>
  <si>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</si>
  <si>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</si>
  <si>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</si>
  <si>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</si>
  <si>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</si>
  <si>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</si>
  <si>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</si>
  <si>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</si>
  <si>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</si>
  <si>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</si>
  <si>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</si>
  <si>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</si>
  <si>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</si>
  <si>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</si>
  <si>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</si>
  <si>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</si>
  <si>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</si>
  <si>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</si>
  <si>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</si>
  <si>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</si>
  <si>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</si>
  <si>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</si>
  <si>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</si>
  <si>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</si>
  <si>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</si>
  <si>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</si>
  <si>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</si>
  <si>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</si>
  <si>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</si>
  <si>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</si>
  <si>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</si>
  <si>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</si>
  <si>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</si>
  <si>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</si>
  <si>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</si>
  <si>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</si>
  <si>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</si>
  <si>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</si>
  <si>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</si>
  <si>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</si>
  <si>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</si>
  <si>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</si>
  <si>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</si>
  <si>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</si>
  <si>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</si>
  <si>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</si>
  <si>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</si>
  <si>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</si>
  <si>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</si>
  <si>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</si>
  <si>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</si>
  <si>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</si>
  <si>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</si>
  <si>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</si>
  <si>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</si>
  <si>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</si>
  <si>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</si>
  <si>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</si>
  <si>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</si>
  <si>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</si>
  <si>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</si>
  <si>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</si>
  <si>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</si>
  <si>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</si>
  <si>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</si>
  <si>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</si>
  <si>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</si>
  <si>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</si>
  <si>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</si>
  <si>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</si>
  <si>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</si>
  <si>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</si>
  <si>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</si>
  <si>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</si>
  <si>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</si>
  <si>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</si>
  <si>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</si>
  <si>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</si>
  <si>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</si>
  <si>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</si>
  <si>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</si>
  <si>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</si>
  <si>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</si>
  <si>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</si>
  <si>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</si>
  <si>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</si>
  <si>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</si>
  <si>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</si>
  <si>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</si>
  <si>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</si>
  <si>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</si>
  <si>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</si>
  <si>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</si>
  <si>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</si>
  <si>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</si>
  <si>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</si>
  <si>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</si>
  <si>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</si>
  <si>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</si>
  <si>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</si>
  <si>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</si>
  <si>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</si>
  <si>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</si>
  <si>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</si>
  <si>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</si>
  <si>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</si>
  <si>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</si>
  <si>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</si>
  <si>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</si>
  <si>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</si>
  <si>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</si>
  <si>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</si>
  <si>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</si>
  <si>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</si>
  <si>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</si>
  <si>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</si>
  <si>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</si>
  <si>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</si>
  <si>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</si>
  <si>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</si>
  <si>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</si>
  <si>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</si>
  <si>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</si>
  <si>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</si>
  <si>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</si>
  <si>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</si>
  <si>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</si>
  <si>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</si>
  <si>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</si>
  <si>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</si>
  <si>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</si>
  <si>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</si>
  <si>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</si>
  <si>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</si>
  <si>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</si>
  <si>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</si>
  <si>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</si>
  <si>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</si>
  <si>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</si>
  <si>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</si>
  <si>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</si>
  <si>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</si>
  <si>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</si>
  <si>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</si>
  <si>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</si>
  <si>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</si>
  <si>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</si>
  <si>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</si>
  <si>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</si>
  <si>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</si>
  <si>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</si>
  <si>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</si>
  <si>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</si>
  <si>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</si>
  <si>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</si>
  <si>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</si>
  <si>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</si>
  <si>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</si>
  <si>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</si>
  <si>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</si>
  <si>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</si>
  <si>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</si>
  <si>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</si>
  <si>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</si>
  <si>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</si>
  <si>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</si>
  <si>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</si>
  <si>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</si>
  <si>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</si>
  <si>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</si>
  <si>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</si>
  <si>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</si>
  <si>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</si>
  <si>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</si>
  <si>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</si>
  <si>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</si>
  <si>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</si>
  <si>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</si>
  <si>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</si>
  <si>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</si>
  <si>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</si>
  <si>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</si>
  <si>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</si>
  <si>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</si>
  <si>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</si>
  <si>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</si>
  <si>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</si>
  <si>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</si>
  <si>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</si>
  <si>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</si>
  <si>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</si>
  <si>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</si>
  <si>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</si>
  <si>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</si>
  <si>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</si>
  <si>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</si>
  <si>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</si>
  <si>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</si>
  <si>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</si>
  <si>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</si>
  <si>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</si>
  <si>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</si>
  <si>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</si>
  <si>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</si>
  <si>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</si>
  <si>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</si>
  <si>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</si>
  <si>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</si>
  <si>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</si>
  <si>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</si>
  <si>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</si>
  <si>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</si>
  <si>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</si>
  <si>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</si>
  <si>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</si>
  <si>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</si>
  <si>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</si>
  <si>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</si>
  <si>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</si>
  <si>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</si>
  <si>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</si>
  <si>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</si>
  <si>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</si>
  <si>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</si>
  <si>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</si>
  <si>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</si>
  <si>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</si>
  <si>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</si>
  <si>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</si>
  <si>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</si>
  <si>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</si>
  <si>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</si>
  <si>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</si>
  <si>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</si>
  <si>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</si>
  <si>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</si>
  <si>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</si>
  <si>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</si>
  <si>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</si>
  <si>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</si>
  <si>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</si>
  <si>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</si>
  <si>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</si>
  <si>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</si>
  <si>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</si>
  <si>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</si>
  <si>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</si>
  <si>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</si>
  <si>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</si>
  <si>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</si>
  <si>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</si>
  <si>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</si>
  <si>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</si>
  <si>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</si>
  <si>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</si>
  <si>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</si>
  <si>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</si>
  <si>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</si>
  <si>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</si>
  <si>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</si>
  <si>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</si>
  <si>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</si>
  <si>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</si>
  <si>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</si>
  <si>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</si>
  <si>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</si>
  <si>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</si>
  <si>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</si>
  <si>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</si>
  <si>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</si>
  <si>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</si>
  <si>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</si>
  <si>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</si>
  <si>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</si>
  <si>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</si>
  <si>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</si>
  <si>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</si>
  <si>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</si>
  <si>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</si>
  <si>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</si>
  <si>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</si>
  <si>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</si>
  <si>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</si>
  <si>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</si>
  <si>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</si>
  <si>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</si>
  <si>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</si>
  <si>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</si>
  <si>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</si>
  <si>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</si>
  <si>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</si>
  <si>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</si>
  <si>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</si>
  <si>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</si>
  <si>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</si>
  <si>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</si>
  <si>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</si>
  <si>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</si>
  <si>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</si>
  <si>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</si>
  <si>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</si>
  <si>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</si>
  <si>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</si>
  <si>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</si>
  <si>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</si>
  <si>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</si>
  <si>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</si>
  <si>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</si>
  <si>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</si>
  <si>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</si>
  <si>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</si>
  <si>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</si>
  <si>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</si>
  <si>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</si>
  <si>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</si>
  <si>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</si>
  <si>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</si>
  <si>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</si>
  <si>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</si>
  <si>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</si>
  <si>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</si>
  <si>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</si>
  <si>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</si>
  <si>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</si>
  <si>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</si>
  <si>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</si>
  <si>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</si>
  <si>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</si>
  <si>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</si>
  <si>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</si>
  <si>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</si>
  <si>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</si>
  <si>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</si>
  <si>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</si>
  <si>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</si>
  <si>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</si>
  <si>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</si>
  <si>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</si>
  <si>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</si>
  <si>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</si>
  <si>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</si>
  <si>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</si>
  <si>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</si>
  <si>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</si>
  <si>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</si>
  <si>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</si>
  <si>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</si>
  <si>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</si>
  <si>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</si>
  <si>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</si>
  <si>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</si>
  <si>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</si>
  <si>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</si>
  <si>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</si>
  <si>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</si>
  <si>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</si>
  <si>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</si>
  <si>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</si>
  <si>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</si>
  <si>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</si>
  <si>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</si>
  <si>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</si>
  <si>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</si>
  <si>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</si>
  <si>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</si>
  <si>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</si>
  <si>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</si>
  <si>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</si>
  <si>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</si>
  <si>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</si>
  <si>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</si>
  <si>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</si>
  <si>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</si>
  <si>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</si>
  <si>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</si>
  <si>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</si>
  <si>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</si>
  <si>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</si>
  <si>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</si>
  <si>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</si>
  <si>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</si>
  <si>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</si>
  <si>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</si>
  <si>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</si>
  <si>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</si>
  <si>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</si>
  <si>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</si>
  <si>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</si>
  <si>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</si>
  <si>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</si>
  <si>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</si>
  <si>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</si>
  <si>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</si>
  <si>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</si>
  <si>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</si>
  <si>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</si>
  <si>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</si>
  <si>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</si>
  <si>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</si>
  <si>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</si>
  <si>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</si>
  <si>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</si>
  <si>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</si>
  <si>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</si>
  <si>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</si>
  <si>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</si>
  <si>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</si>
  <si>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</si>
  <si>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</si>
  <si>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</si>
  <si>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</si>
  <si>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</si>
  <si>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</si>
  <si>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</si>
  <si>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</si>
  <si>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</si>
  <si>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</si>
  <si>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</si>
  <si>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</si>
  <si>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</si>
  <si>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</si>
  <si>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</si>
  <si>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</si>
  <si>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</si>
  <si>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</si>
  <si>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</si>
  <si>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</si>
  <si>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</si>
  <si>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</si>
  <si>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</si>
  <si>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</si>
  <si>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</si>
  <si>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</si>
  <si>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</si>
  <si>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</si>
  <si>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</si>
  <si>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</si>
  <si>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</si>
  <si>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</si>
  <si>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</si>
  <si>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</si>
  <si>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</si>
  <si>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</si>
  <si>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</si>
  <si>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</si>
  <si>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</si>
  <si>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</si>
  <si>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</si>
  <si>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</si>
  <si>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</si>
  <si>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</si>
  <si>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</si>
  <si>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</si>
  <si>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</si>
  <si>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</si>
  <si>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</si>
  <si>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</si>
  <si>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</si>
  <si>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</si>
  <si>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</si>
  <si>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</si>
  <si>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</si>
  <si>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</si>
  <si>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</si>
  <si>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</si>
  <si>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</si>
  <si>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</si>
  <si>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</si>
  <si>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</si>
  <si>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</si>
  <si>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</si>
  <si>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</si>
  <si>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</si>
  <si>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</si>
  <si>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</si>
  <si>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</si>
  <si>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</si>
  <si>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</si>
  <si>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</si>
  <si>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</si>
  <si>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</si>
  <si>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</si>
  <si>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</si>
  <si>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</si>
  <si>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</si>
  <si>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</si>
  <si>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</si>
  <si>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</si>
  <si>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</si>
  <si>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</si>
  <si>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</si>
  <si>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</si>
  <si>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</si>
  <si>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</si>
  <si>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</si>
  <si>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</si>
  <si>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</si>
  <si>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</si>
  <si>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</si>
  <si>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</si>
  <si>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</si>
  <si>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</si>
  <si>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</si>
  <si>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</si>
  <si>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</si>
  <si>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</si>
  <si>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</si>
  <si>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</si>
  <si>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</si>
  <si>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</si>
  <si>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</si>
  <si>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</si>
  <si>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</si>
  <si>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</si>
  <si>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</si>
  <si>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</si>
  <si>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</si>
  <si>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</si>
  <si>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</si>
  <si>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</si>
  <si>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</si>
  <si>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</si>
  <si>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</si>
  <si>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</si>
  <si>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</si>
  <si>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</si>
  <si>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</si>
  <si>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</si>
  <si>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</si>
  <si>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</si>
  <si>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</si>
  <si>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</si>
  <si>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</si>
  <si>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</si>
  <si>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</si>
  <si>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</si>
  <si>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</si>
  <si>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</si>
  <si>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</si>
  <si>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</si>
  <si>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</si>
  <si>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</si>
  <si>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</si>
  <si>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</si>
  <si>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</si>
  <si>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</si>
  <si>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</si>
  <si>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</si>
  <si>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</si>
  <si>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</si>
  <si>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</si>
  <si>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</si>
  <si>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</si>
  <si>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</si>
  <si>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</si>
  <si>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</si>
  <si>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</si>
  <si>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</si>
  <si>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</si>
  <si>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</si>
  <si>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</si>
  <si>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</si>
  <si>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</si>
  <si>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</si>
  <si>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</si>
  <si>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</si>
  <si>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</si>
  <si>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</si>
  <si>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</si>
  <si>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</si>
  <si>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</si>
  <si>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</si>
  <si>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</si>
  <si>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</si>
  <si>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</si>
  <si>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</si>
  <si>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</si>
  <si>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</si>
  <si>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</si>
  <si>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</si>
  <si>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</si>
  <si>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</si>
  <si>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</si>
  <si>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</si>
  <si>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</si>
  <si>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</si>
  <si>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</si>
  <si>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</si>
  <si>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</si>
  <si>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</si>
  <si>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</si>
  <si>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</si>
  <si>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</si>
  <si>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</si>
  <si>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</si>
  <si>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</si>
  <si>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</si>
  <si>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</si>
  <si>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</si>
  <si>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</si>
  <si>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</si>
  <si>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</si>
  <si>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</si>
  <si>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</si>
  <si>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</si>
  <si>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</si>
  <si>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</si>
  <si>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</si>
  <si>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</si>
  <si>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</si>
  <si>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</si>
  <si>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</si>
  <si>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</si>
  <si>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</si>
  <si>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</si>
  <si>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</si>
  <si>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</si>
  <si>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</si>
  <si>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</si>
  <si>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</si>
  <si>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</si>
  <si>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</si>
  <si>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</si>
  <si>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</si>
  <si>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</si>
  <si>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</si>
  <si>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</si>
  <si>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</si>
  <si>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</si>
  <si>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</si>
  <si>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</si>
  <si>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</si>
  <si>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</si>
  <si>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</si>
  <si>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</si>
  <si>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</si>
  <si>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</si>
  <si>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</si>
  <si>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</si>
  <si>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</si>
  <si>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</si>
  <si>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</si>
  <si>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</si>
  <si>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</si>
  <si>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</si>
  <si>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</si>
  <si>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</si>
  <si>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</si>
  <si>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</si>
  <si>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</si>
  <si>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</si>
  <si>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</si>
  <si>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</si>
  <si>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</si>
  <si>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</si>
  <si>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</si>
  <si>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</si>
  <si>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</si>
  <si>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</si>
  <si>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</si>
  <si>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</si>
  <si>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</si>
  <si>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</si>
  <si>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</si>
  <si>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</si>
  <si>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</si>
  <si>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</si>
  <si>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</si>
  <si>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</si>
  <si>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</si>
  <si>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</si>
  <si>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</si>
  <si>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</si>
  <si>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</si>
  <si>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</si>
  <si>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</si>
  <si>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</si>
  <si>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</si>
  <si>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</si>
  <si>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</si>
  <si>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</si>
  <si>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</si>
  <si>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</si>
  <si>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</si>
  <si>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</si>
  <si>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</si>
  <si>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</si>
  <si>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</si>
  <si>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</si>
  <si>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</si>
  <si>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</si>
  <si>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</si>
  <si>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</si>
  <si>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</si>
  <si>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</si>
  <si>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</si>
  <si>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</si>
  <si>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</si>
  <si>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</si>
  <si>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</si>
  <si>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</si>
  <si>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</si>
  <si>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</si>
  <si>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</si>
  <si>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</si>
  <si>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</si>
  <si>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</si>
  <si>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</si>
  <si>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</si>
  <si>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</si>
  <si>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</si>
  <si>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</si>
  <si>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</si>
  <si>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</si>
  <si>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</si>
  <si>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</si>
  <si>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</si>
  <si>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</si>
  <si>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</si>
  <si>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</si>
  <si>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</si>
  <si>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</si>
  <si>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</si>
  <si>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</si>
  <si>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</si>
  <si>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</si>
  <si>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</si>
  <si>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</si>
  <si>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</si>
  <si>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</si>
  <si>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</si>
  <si>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</si>
  <si>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</si>
  <si>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</si>
  <si>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</si>
  <si>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</si>
  <si>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</si>
  <si>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</si>
  <si>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</si>
  <si>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</si>
  <si>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</si>
  <si>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</si>
  <si>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</si>
  <si>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</si>
  <si>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</si>
  <si>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</si>
  <si>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</si>
  <si>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</si>
  <si>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</si>
  <si>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</si>
  <si>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</si>
  <si>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</si>
  <si>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</si>
  <si>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</si>
  <si>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</si>
  <si>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</si>
  <si>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</si>
  <si>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</si>
  <si>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</si>
  <si>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</si>
  <si>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</si>
  <si>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</si>
  <si>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</si>
  <si>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</si>
  <si>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</si>
  <si>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</si>
  <si>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</si>
  <si>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</si>
  <si>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</si>
  <si>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</si>
  <si>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</si>
  <si>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</si>
  <si>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</si>
  <si>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</si>
  <si>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</si>
  <si>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</si>
  <si>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</si>
  <si>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</si>
  <si>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</si>
  <si>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</si>
  <si>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</si>
  <si>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</si>
  <si>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</si>
  <si>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</si>
  <si>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</si>
  <si>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</si>
  <si>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</si>
  <si>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</si>
  <si>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</si>
  <si>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</si>
  <si>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</si>
  <si>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</si>
  <si>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</si>
  <si>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</si>
  <si>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</si>
  <si>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</si>
  <si>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</si>
  <si>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</si>
  <si>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</si>
  <si>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</si>
  <si>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</si>
  <si>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</si>
  <si>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</si>
  <si>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</si>
  <si>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</si>
  <si>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</si>
  <si>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</si>
  <si>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</si>
  <si>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</si>
  <si>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</si>
  <si>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</si>
  <si>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</si>
  <si>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</si>
  <si>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</si>
  <si>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</si>
  <si>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</si>
  <si>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</si>
  <si>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</si>
  <si>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</si>
  <si>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</si>
  <si>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</si>
  <si>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</si>
  <si>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</si>
  <si>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</si>
  <si>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</si>
  <si>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</si>
  <si>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</si>
  <si>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</si>
  <si>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</si>
  <si>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</si>
  <si>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</si>
  <si>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</si>
  <si>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</si>
  <si>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</si>
  <si>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</si>
  <si>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</si>
  <si>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</si>
  <si>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</si>
  <si>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</si>
  <si>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</si>
  <si>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</si>
  <si>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</si>
  <si>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</si>
  <si>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</si>
  <si>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</si>
  <si>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</si>
  <si>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</si>
  <si>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</si>
  <si>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</si>
  <si>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</si>
  <si>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</si>
  <si>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</si>
  <si>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</si>
  <si>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</si>
  <si>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</si>
  <si>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</si>
  <si>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</si>
  <si>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</si>
  <si>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</si>
  <si>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</si>
  <si>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</si>
  <si>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</si>
  <si>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</si>
  <si>
    <t>EA15-1</t>
  </si>
  <si>
    <t>EA15</t>
  </si>
  <si>
    <t>EL ARTESANO SRL  - MARMOLERIA</t>
  </si>
  <si>
    <t>PADRE MUSTAQUIO 248</t>
  </si>
  <si>
    <t>CHACO - BARRIO BELGRANO</t>
  </si>
  <si>
    <t>Alta automática desde Pedidos Pendientes | Pedido 216666 | Despacho 5010001 | CLIENTES SIMILARES</t>
  </si>
  <si>
    <t>RM18-4</t>
  </si>
  <si>
    <t>CR28-1</t>
  </si>
  <si>
    <t>CR28</t>
  </si>
  <si>
    <t>CONSTRUCTORA ROMANO S.A.S.</t>
  </si>
  <si>
    <t>KUANIP 1316</t>
  </si>
  <si>
    <t>Alta automática desde Pedidos Pendientes | Pedido 216419 | Despacho 5010001 | CLIENTES SIMILARES</t>
  </si>
  <si>
    <t>CC61-5</t>
  </si>
  <si>
    <t>23 DE AGOSTO 450</t>
  </si>
  <si>
    <t>MADINI LUCIANO EMANUEL</t>
  </si>
  <si>
    <t>CORDOBA -SAN BASILIO</t>
  </si>
  <si>
    <t>Alta automática desde Pedidos Pendientes | Pedido 216739 | Despacho 5010001 | CLIENTES SIMILARES</t>
  </si>
  <si>
    <t>FA30-3</t>
  </si>
  <si>
    <t>LOS NARANJALES 820</t>
  </si>
  <si>
    <t>LEANDRO N. ALEM</t>
  </si>
  <si>
    <t>Alta automática desde Pedidos Pendientes | Pedido 216948 | Despacho 5010001 | CLIENTES SIMILARES</t>
  </si>
  <si>
    <t>GI09-1</t>
  </si>
  <si>
    <t>GI09</t>
  </si>
  <si>
    <t>GRUPO INNOVARE SRL</t>
  </si>
  <si>
    <t>DOLORES 224</t>
  </si>
  <si>
    <t>Alta automática desde Pedidos Pendientes | Pedido 217111 | Despacho 5020010 | CLIENTES SIMILARES</t>
  </si>
  <si>
    <t>HO05-66</t>
  </si>
  <si>
    <t>RUTA 40 KM 78</t>
  </si>
  <si>
    <t>LOPEZ JULIAN</t>
  </si>
  <si>
    <t>Alta automática desde Pedidos Pendientes | Pedido 216687 | Despacho 5010001 | CLIENTES SIMILARES</t>
  </si>
  <si>
    <t>HO05-67</t>
  </si>
  <si>
    <t>HIPOLITO YRIGOYEN LOTE 9 M:A</t>
  </si>
  <si>
    <t>LYL CONSTRUCCION SAS</t>
  </si>
  <si>
    <t>RAWSON</t>
  </si>
  <si>
    <t>Alta automática desde Pedidos Pendientes | Pedido 216695 | Despacho 5010001 | CLIENTES SIMILARES</t>
  </si>
  <si>
    <t>SU09-12</t>
  </si>
  <si>
    <t>CATAMARCA - SUPERMAT</t>
  </si>
  <si>
    <t>Alta automática desde Pedidos Pendientes | Pedido 216945 | Despacho 5010001 | CLIENTES SIMILARES</t>
  </si>
  <si>
    <t>CI15-3</t>
  </si>
  <si>
    <t>CALLE 480 y Ciudadela C. SUR ACCESO OESTE Y EMPALME RN5</t>
  </si>
  <si>
    <t>SUC LUJAN</t>
  </si>
  <si>
    <t>Alta automática desde Pedidos Pendientes | Pedido 216928 | Despacho 2010007 | CONFIGURACION DE ZONA</t>
  </si>
  <si>
    <t>BA47-1</t>
  </si>
  <si>
    <t>BA47</t>
  </si>
  <si>
    <t>BAEZ ALEJANDRO GERMAN</t>
  </si>
  <si>
    <t>Alta automática desde Pedidos Pendientes | Pedido 217083 | Despacho 2010003 | CLIENTES SIMILARES</t>
  </si>
  <si>
    <t>CO45-12</t>
  </si>
  <si>
    <t>ESPECHE</t>
  </si>
  <si>
    <t>Alta automática desde Pedidos Pendientes | Pedido 217137 | Despacho 5010001 | CLIENTES SIMILARES</t>
  </si>
  <si>
    <t>GM13-2</t>
  </si>
  <si>
    <t>GM13</t>
  </si>
  <si>
    <t>GIL MIGUEL</t>
  </si>
  <si>
    <t>AV. BELGRANO 1730</t>
  </si>
  <si>
    <t>Alta automática desde Pedidos Pendientes | Pedido 217157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</si>
</sst>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48" tableType="queryTable" totalsRowShown="0">
  <autoFilter ref="A1:Q1248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48"/>
  <sheetViews>
    <sheetView tabSelected="1" topLeftCell="A922" zoomScaleNormal="100" workbookViewId="0">
      <selection activeCell="A941" sqref="A94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3068</v>
      </c>
      <c r="P67" s="2" t="str">
        <f>+VLOOKUP(Maestro_Clientes[[#This Row],[Entrega]],Preparacion!A:B,2,0)</f>
        <v>VIERNES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">
        <v>1488</v>
      </c>
      <c r="P234" s="2" t="s">
        <v>1488</v>
      </c>
      <c r="Q234"/>
    </row>
    <row r="235" spans="1:17" x14ac:dyDescent="0.25">
      <c r="A235" s="2" t="s">
        <v>454</v>
      </c>
      <c r="B235" s="2" t="s">
        <v>454</v>
      </c>
      <c r="C235" s="2" t="s">
        <v>455</v>
      </c>
      <c r="D235" s="2" t="s">
        <v>24</v>
      </c>
      <c r="E235" s="2" t="s">
        <v>457</v>
      </c>
      <c r="O235" s="2" t="s">
        <v>1488</v>
      </c>
      <c r="P235" s="2" t="s">
        <v>1488</v>
      </c>
      <c r="Q235"/>
    </row>
    <row r="236" spans="1:17" customFormat="1" x14ac:dyDescent="0.25">
      <c r="A236" s="2" t="s">
        <v>3536</v>
      </c>
      <c r="B236" s="2" t="s">
        <v>3537</v>
      </c>
      <c r="C236" s="2" t="s">
        <v>3538</v>
      </c>
      <c r="D236" s="2" t="s">
        <v>8</v>
      </c>
      <c r="E236" s="2" t="s">
        <v>3539</v>
      </c>
      <c r="F236" s="2">
        <v>1002</v>
      </c>
      <c r="G236" s="2" t="s">
        <v>34</v>
      </c>
      <c r="H236" s="2" t="s">
        <v>3540</v>
      </c>
      <c r="I236" s="2" t="s">
        <v>126</v>
      </c>
      <c r="J236" s="2" t="s">
        <v>3541</v>
      </c>
      <c r="K236" s="2" t="s">
        <v>126</v>
      </c>
      <c r="L236" s="2" t="s">
        <v>3176</v>
      </c>
      <c r="M236" s="2" t="s">
        <v>39</v>
      </c>
      <c r="N236" s="2" t="s">
        <v>40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4245</v>
      </c>
      <c r="B237" s="2" t="s">
        <v>4246</v>
      </c>
      <c r="C237" s="2" t="s">
        <v>4247</v>
      </c>
      <c r="D237" s="2" t="s">
        <v>8</v>
      </c>
      <c r="E237" s="2" t="s">
        <v>4248</v>
      </c>
      <c r="F237" s="2">
        <v>1014</v>
      </c>
      <c r="G237" s="2" t="s">
        <v>59</v>
      </c>
      <c r="H237" s="2" t="s">
        <v>184</v>
      </c>
      <c r="I237" s="2" t="s">
        <v>4249</v>
      </c>
      <c r="J237" s="2" t="s">
        <v>4250</v>
      </c>
      <c r="K237" s="2" t="s">
        <v>186</v>
      </c>
      <c r="L237" s="2" t="s">
        <v>3009</v>
      </c>
      <c r="M237" s="2" t="s">
        <v>2706</v>
      </c>
      <c r="N237" s="2" t="s">
        <v>66</v>
      </c>
      <c r="O237" s="2" t="str">
        <f>_xlfn.IFNA(+VLOOKUP(Maestro_Clientes[[#This Row],[Zona]],Tabla1[[#All],[Cruce Reportes]:[ENTREGA ]],2,0),Maestro_Clientes[[#This Row],[Zona]])</f>
        <v>EXPRESO</v>
      </c>
      <c r="P237" s="2" t="str">
        <f>+VLOOKUP(Maestro_Clientes[[#This Row],[Entrega]],Preparacion!A:B,2,0)</f>
        <v>Expreso</v>
      </c>
    </row>
    <row r="238" spans="1:17" customFormat="1" x14ac:dyDescent="0.25">
      <c r="A238" s="2" t="s">
        <v>811</v>
      </c>
      <c r="B238" s="2" t="s">
        <v>805</v>
      </c>
      <c r="C238" s="2" t="s">
        <v>806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808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</row>
    <row r="239" spans="1:17" x14ac:dyDescent="0.25">
      <c r="A239" s="2" t="s">
        <v>1082</v>
      </c>
      <c r="B239" s="2" t="s">
        <v>1079</v>
      </c>
      <c r="C239" s="2" t="s">
        <v>1080</v>
      </c>
      <c r="D239" s="2" t="s">
        <v>8</v>
      </c>
      <c r="E239" s="2" t="s">
        <v>809</v>
      </c>
      <c r="F239" s="2">
        <v>1003</v>
      </c>
      <c r="G239" s="2" t="s">
        <v>807</v>
      </c>
      <c r="H239" s="2" t="s">
        <v>1081</v>
      </c>
      <c r="I239" s="2" t="s">
        <v>62</v>
      </c>
      <c r="J239" s="2" t="s">
        <v>2719</v>
      </c>
      <c r="K239" s="2" t="s">
        <v>63</v>
      </c>
      <c r="L239" s="2" t="s">
        <v>3068</v>
      </c>
      <c r="M239" s="2" t="s">
        <v>812</v>
      </c>
      <c r="N239" s="2" t="s">
        <v>813</v>
      </c>
      <c r="O239" s="2" t="s">
        <v>3116</v>
      </c>
      <c r="P239" s="2" t="str">
        <f>+VLOOKUP(Maestro_Clientes[[#This Row],[Entrega]],Preparacion!A:B,2,0)</f>
        <v>LUNES</v>
      </c>
      <c r="Q239"/>
    </row>
    <row r="240" spans="1:17" customFormat="1" x14ac:dyDescent="0.25">
      <c r="A240" s="2" t="s">
        <v>3215</v>
      </c>
      <c r="B240" s="2" t="s">
        <v>3216</v>
      </c>
      <c r="C240" s="2" t="s">
        <v>3217</v>
      </c>
      <c r="D240" s="2" t="s">
        <v>8</v>
      </c>
      <c r="E240" s="2" t="s">
        <v>3218</v>
      </c>
      <c r="F240" s="2">
        <v>1002</v>
      </c>
      <c r="G240" s="2" t="s">
        <v>34</v>
      </c>
      <c r="H240" s="2" t="s">
        <v>3219</v>
      </c>
      <c r="I240" s="2" t="s">
        <v>3220</v>
      </c>
      <c r="J240" s="2" t="s">
        <v>3221</v>
      </c>
      <c r="K240" s="2" t="s">
        <v>12</v>
      </c>
      <c r="L240" s="2" t="s">
        <v>3176</v>
      </c>
      <c r="M240" s="2" t="s">
        <v>39</v>
      </c>
      <c r="N240" s="2" t="s">
        <v>40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3275</v>
      </c>
      <c r="B241" s="2" t="s">
        <v>3276</v>
      </c>
      <c r="C241" s="2" t="s">
        <v>3277</v>
      </c>
      <c r="D241" s="2" t="s">
        <v>8</v>
      </c>
      <c r="E241" s="2" t="s">
        <v>3278</v>
      </c>
      <c r="F241" s="2">
        <v>1028</v>
      </c>
      <c r="G241" s="2" t="s">
        <v>81</v>
      </c>
      <c r="H241" s="2" t="s">
        <v>3279</v>
      </c>
      <c r="I241" s="2" t="s">
        <v>3280</v>
      </c>
      <c r="J241" s="2" t="s">
        <v>3281</v>
      </c>
      <c r="K241" s="2" t="s">
        <v>197</v>
      </c>
      <c r="L241" s="2" t="s">
        <v>3176</v>
      </c>
      <c r="M241" s="2" t="s">
        <v>87</v>
      </c>
      <c r="N241" s="2" t="s">
        <v>88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1407</v>
      </c>
      <c r="B242" s="2" t="s">
        <v>1403</v>
      </c>
      <c r="C242" s="2" t="s">
        <v>1404</v>
      </c>
      <c r="D242" s="2" t="s">
        <v>8</v>
      </c>
      <c r="E242" s="2" t="s">
        <v>1405</v>
      </c>
      <c r="F242" s="2">
        <v>1002</v>
      </c>
      <c r="G242" s="2" t="s">
        <v>34</v>
      </c>
      <c r="H242" s="2" t="s">
        <v>757</v>
      </c>
      <c r="I242" s="2" t="s">
        <v>1406</v>
      </c>
      <c r="J242" s="2" t="s">
        <v>2882</v>
      </c>
      <c r="K242" s="2" t="s">
        <v>243</v>
      </c>
      <c r="L242" s="2" t="s">
        <v>3176</v>
      </c>
      <c r="M242" s="2" t="s">
        <v>39</v>
      </c>
      <c r="N242" s="2" t="s">
        <v>40</v>
      </c>
      <c r="O242" s="2" t="str">
        <f>_xlfn.IFNA(+VLOOKUP(Maestro_Clientes[[#This Row],[Zona]],Tabla1[[#All],[Cruce Reportes]:[ENTREGA ]],2,0),Maestro_Clientes[[#This Row],[Zona]])</f>
        <v>Expreso</v>
      </c>
      <c r="P242" s="2" t="str">
        <f>+VLOOKUP(Maestro_Clientes[[#This Row],[Entrega]],Preparacion!A:B,2,0)</f>
        <v>Expreso</v>
      </c>
    </row>
    <row r="243" spans="1:17" customFormat="1" x14ac:dyDescent="0.25">
      <c r="A243" s="2" t="s">
        <v>5164</v>
      </c>
      <c r="B243" s="2" t="s">
        <v>5162</v>
      </c>
      <c r="C243" s="2" t="s">
        <v>5163</v>
      </c>
      <c r="D243" s="2" t="s">
        <v>8</v>
      </c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 t="s">
        <v>3023</v>
      </c>
      <c r="P243" s="2" t="str">
        <f>+VLOOKUP(Maestro_Clientes[[#This Row],[Entrega]],Preparacion!A:B,2,0)</f>
        <v>JUEVES</v>
      </c>
      <c r="Q243" s="2"/>
    </row>
    <row r="244" spans="1:17" customFormat="1" x14ac:dyDescent="0.25">
      <c r="A244" s="2" t="s">
        <v>566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3176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Expreso</v>
      </c>
      <c r="P244" s="2" t="str">
        <f>+VLOOKUP(Maestro_Clientes[[#This Row],[Entrega]],Preparacion!A:B,2,0)</f>
        <v>Expreso</v>
      </c>
    </row>
    <row r="245" spans="1:17" customFormat="1" x14ac:dyDescent="0.25">
      <c r="A245" s="2" t="s">
        <v>1434</v>
      </c>
      <c r="B245" s="2" t="s">
        <v>562</v>
      </c>
      <c r="C245" s="2" t="s">
        <v>563</v>
      </c>
      <c r="D245" s="2" t="s">
        <v>8</v>
      </c>
      <c r="E245" s="2" t="s">
        <v>565</v>
      </c>
      <c r="F245" s="2">
        <v>1002</v>
      </c>
      <c r="G245" s="2" t="s">
        <v>34</v>
      </c>
      <c r="H245" s="2" t="s">
        <v>564</v>
      </c>
      <c r="I245" s="2" t="s">
        <v>564</v>
      </c>
      <c r="J245" s="2" t="s">
        <v>2786</v>
      </c>
      <c r="K245" s="2" t="s">
        <v>12</v>
      </c>
      <c r="L245" s="2" t="s">
        <v>20</v>
      </c>
      <c r="M245" s="2" t="s">
        <v>39</v>
      </c>
      <c r="N245" s="2" t="s">
        <v>40</v>
      </c>
      <c r="O245" s="2" t="str">
        <f>_xlfn.IFNA(+VLOOKUP(Maestro_Clientes[[#This Row],[Zona]],Tabla1[[#All],[Cruce Reportes]:[ENTREGA ]],2,0),Maestro_Clientes[[#This Row],[Zona]])</f>
        <v>MARTES</v>
      </c>
      <c r="P245" s="2" t="str">
        <f>+VLOOKUP(Maestro_Clientes[[#This Row],[Entrega]],Preparacion!A:B,2,0)</f>
        <v>VIERNES</v>
      </c>
    </row>
    <row r="246" spans="1:17" customFormat="1" x14ac:dyDescent="0.25">
      <c r="A246" s="2" t="s">
        <v>3426</v>
      </c>
      <c r="B246" s="2" t="s">
        <v>3427</v>
      </c>
      <c r="C246" s="2" t="s">
        <v>3428</v>
      </c>
      <c r="D246" s="2" t="s">
        <v>8</v>
      </c>
      <c r="E246" s="2" t="s">
        <v>3429</v>
      </c>
      <c r="F246" s="2">
        <v>1023</v>
      </c>
      <c r="G246" s="2" t="s">
        <v>2092</v>
      </c>
      <c r="H246" s="2" t="s">
        <v>64</v>
      </c>
      <c r="I246" s="2" t="s">
        <v>62</v>
      </c>
      <c r="J246" s="2" t="s">
        <v>2719</v>
      </c>
      <c r="K246" s="2" t="s">
        <v>63</v>
      </c>
      <c r="L246" s="2" t="s">
        <v>3068</v>
      </c>
      <c r="M246" s="2" t="s">
        <v>2093</v>
      </c>
      <c r="N246" s="2" t="s">
        <v>2094</v>
      </c>
      <c r="O246" s="2" t="s">
        <v>3155</v>
      </c>
      <c r="P246" s="2" t="str">
        <f>+VLOOKUP(Maestro_Clientes[[#This Row],[Entrega]],Preparacion!A:B,2,0)</f>
        <v>con turno</v>
      </c>
    </row>
    <row r="247" spans="1:17" customFormat="1" x14ac:dyDescent="0.25">
      <c r="A247" s="2" t="s">
        <v>226</v>
      </c>
      <c r="B247" s="2" t="s">
        <v>222</v>
      </c>
      <c r="C247" s="2" t="s">
        <v>223</v>
      </c>
      <c r="D247" s="2" t="s">
        <v>8</v>
      </c>
      <c r="E247" s="2" t="s">
        <v>224</v>
      </c>
      <c r="F247" s="2">
        <v>1014</v>
      </c>
      <c r="G247" s="2" t="s">
        <v>59</v>
      </c>
      <c r="H247" s="2" t="s">
        <v>173</v>
      </c>
      <c r="I247" s="2" t="s">
        <v>225</v>
      </c>
      <c r="J247" s="2" t="s">
        <v>2736</v>
      </c>
      <c r="K247" s="2" t="s">
        <v>197</v>
      </c>
      <c r="L247" s="2" t="s">
        <v>3176</v>
      </c>
      <c r="M247" s="2" t="s">
        <v>2706</v>
      </c>
      <c r="N247" s="2" t="s">
        <v>66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2432</v>
      </c>
      <c r="B248" s="2" t="s">
        <v>149</v>
      </c>
      <c r="C248" s="2" t="s">
        <v>150</v>
      </c>
      <c r="D248" s="2" t="s">
        <v>8</v>
      </c>
      <c r="E248" s="2" t="s">
        <v>2430</v>
      </c>
      <c r="F248" s="2">
        <v>1028</v>
      </c>
      <c r="G248" s="2" t="s">
        <v>81</v>
      </c>
      <c r="H248" s="2" t="s">
        <v>2429</v>
      </c>
      <c r="I248" s="2" t="s">
        <v>2431</v>
      </c>
      <c r="J248" s="2" t="s">
        <v>2979</v>
      </c>
      <c r="K248" s="2" t="s">
        <v>126</v>
      </c>
      <c r="L248" s="2" t="s">
        <v>3176</v>
      </c>
      <c r="M248" s="2" t="s">
        <v>87</v>
      </c>
      <c r="N248" s="2" t="s">
        <v>88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248</v>
      </c>
      <c r="B249" s="2" t="s">
        <v>149</v>
      </c>
      <c r="C249" s="2" t="s">
        <v>150</v>
      </c>
      <c r="D249" s="2" t="s">
        <v>8</v>
      </c>
      <c r="E249" s="2" t="s">
        <v>246</v>
      </c>
      <c r="F249" s="2">
        <v>1034</v>
      </c>
      <c r="G249" s="2" t="s">
        <v>158</v>
      </c>
      <c r="H249" s="2" t="s">
        <v>245</v>
      </c>
      <c r="I249" s="2" t="s">
        <v>247</v>
      </c>
      <c r="J249" s="2" t="s">
        <v>2741</v>
      </c>
      <c r="K249" s="2" t="s">
        <v>126</v>
      </c>
      <c r="L249" s="2" t="s">
        <v>3176</v>
      </c>
      <c r="M249" s="2" t="s">
        <v>2706</v>
      </c>
      <c r="N249" s="2" t="s">
        <v>163</v>
      </c>
      <c r="O249" s="2" t="str">
        <f>_xlfn.IFNA(+VLOOKUP(Maestro_Clientes[[#This Row],[Zona]],Tabla1[[#All],[Cruce Reportes]:[ENTREGA ]],2,0),Maestro_Clientes[[#This Row],[Zona]])</f>
        <v>Expreso</v>
      </c>
      <c r="P249" s="2" t="str">
        <f>+VLOOKUP(Maestro_Clientes[[#This Row],[Entrega]],Preparacion!A:B,2,0)</f>
        <v>Expreso</v>
      </c>
    </row>
    <row r="250" spans="1:17" customFormat="1" x14ac:dyDescent="0.25">
      <c r="A250" s="2" t="s">
        <v>3180</v>
      </c>
      <c r="B250" s="2" t="s">
        <v>149</v>
      </c>
      <c r="C250" s="2" t="s">
        <v>150</v>
      </c>
      <c r="D250" s="2" t="s">
        <v>8</v>
      </c>
      <c r="E250" s="2" t="s">
        <v>3353</v>
      </c>
      <c r="F250" s="2">
        <v>0</v>
      </c>
      <c r="G250" s="2" t="s">
        <v>3176</v>
      </c>
      <c r="H250" s="2" t="s">
        <v>3354</v>
      </c>
      <c r="I250" s="2" t="s">
        <v>3355</v>
      </c>
      <c r="J250" s="2" t="s">
        <v>3356</v>
      </c>
      <c r="K250" s="2" t="s">
        <v>12</v>
      </c>
      <c r="L250" s="2" t="s">
        <v>3023</v>
      </c>
      <c r="M250" s="2" t="s">
        <v>2706</v>
      </c>
      <c r="N250" s="2" t="s">
        <v>2706</v>
      </c>
      <c r="O250" s="2" t="s">
        <v>3176</v>
      </c>
      <c r="P250" s="2" t="str">
        <f>+VLOOKUP(Maestro_Clientes[[#This Row],[Entrega]],Preparacion!A:B,2,0)</f>
        <v>Expreso</v>
      </c>
    </row>
    <row r="251" spans="1:17" x14ac:dyDescent="0.25">
      <c r="A251" s="2" t="s">
        <v>2374</v>
      </c>
      <c r="B251" s="2" t="s">
        <v>149</v>
      </c>
      <c r="C251" s="2" t="s">
        <v>150</v>
      </c>
      <c r="D251" s="2" t="s">
        <v>8</v>
      </c>
      <c r="E251" s="2" t="s">
        <v>2372</v>
      </c>
      <c r="F251" s="2">
        <v>1014</v>
      </c>
      <c r="G251" s="2" t="s">
        <v>59</v>
      </c>
      <c r="H251" s="2" t="s">
        <v>2371</v>
      </c>
      <c r="I251" s="2" t="s">
        <v>2373</v>
      </c>
      <c r="J251" s="2" t="s">
        <v>2974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  <c r="Q251"/>
    </row>
    <row r="252" spans="1:17" customFormat="1" x14ac:dyDescent="0.25">
      <c r="A252" s="2" t="s">
        <v>378</v>
      </c>
      <c r="B252" s="2" t="s">
        <v>149</v>
      </c>
      <c r="C252" s="2" t="s">
        <v>150</v>
      </c>
      <c r="D252" s="2" t="s">
        <v>8</v>
      </c>
      <c r="E252" s="2" t="s">
        <v>377</v>
      </c>
      <c r="F252" s="2">
        <v>1014</v>
      </c>
      <c r="G252" s="2" t="s">
        <v>59</v>
      </c>
      <c r="H252" s="2" t="s">
        <v>376</v>
      </c>
      <c r="I252" s="2" t="s">
        <v>126</v>
      </c>
      <c r="J252" s="2" t="s">
        <v>2760</v>
      </c>
      <c r="K252" s="2" t="s">
        <v>126</v>
      </c>
      <c r="L252" s="2" t="s">
        <v>3176</v>
      </c>
      <c r="M252" s="2" t="s">
        <v>2706</v>
      </c>
      <c r="N252" s="2" t="s">
        <v>66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3589</v>
      </c>
      <c r="B253" s="2" t="s">
        <v>149</v>
      </c>
      <c r="C253" s="2" t="s">
        <v>150</v>
      </c>
      <c r="D253" s="2" t="s">
        <v>8</v>
      </c>
      <c r="E253" s="2" t="s">
        <v>3590</v>
      </c>
      <c r="F253" s="2">
        <v>0</v>
      </c>
      <c r="G253" s="2" t="s">
        <v>3176</v>
      </c>
      <c r="H253" s="2" t="s">
        <v>3591</v>
      </c>
      <c r="I253" s="2" t="s">
        <v>3592</v>
      </c>
      <c r="J253" s="2" t="s">
        <v>3593</v>
      </c>
      <c r="K253" s="2" t="s">
        <v>12</v>
      </c>
      <c r="L253" s="2" t="s">
        <v>3176</v>
      </c>
      <c r="M253" s="2" t="s">
        <v>2706</v>
      </c>
      <c r="N253" s="2" t="s">
        <v>2706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4372</v>
      </c>
      <c r="B254" s="2" t="s">
        <v>149</v>
      </c>
      <c r="C254" s="2" t="s">
        <v>150</v>
      </c>
      <c r="D254" s="2" t="s">
        <v>8</v>
      </c>
      <c r="E254" s="2" t="s">
        <v>4373</v>
      </c>
      <c r="F254" s="2">
        <v>1014</v>
      </c>
      <c r="G254" s="2" t="s">
        <v>59</v>
      </c>
      <c r="H254" s="2" t="s">
        <v>4374</v>
      </c>
      <c r="I254" s="2" t="s">
        <v>4067</v>
      </c>
      <c r="J254" s="2" t="s">
        <v>4068</v>
      </c>
      <c r="K254" s="2" t="s">
        <v>12</v>
      </c>
      <c r="L254" s="2" t="s">
        <v>3009</v>
      </c>
      <c r="M254" s="2" t="s">
        <v>2706</v>
      </c>
      <c r="N254" s="2" t="s">
        <v>66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1842</v>
      </c>
      <c r="B255" s="2" t="s">
        <v>149</v>
      </c>
      <c r="C255" s="2" t="s">
        <v>150</v>
      </c>
      <c r="D255" s="2" t="s">
        <v>8</v>
      </c>
      <c r="E255" s="2" t="s">
        <v>1841</v>
      </c>
      <c r="F255" s="2">
        <v>1002</v>
      </c>
      <c r="G255" s="2" t="s">
        <v>34</v>
      </c>
      <c r="H255" s="2" t="s">
        <v>1840</v>
      </c>
      <c r="I255" s="2" t="s">
        <v>719</v>
      </c>
      <c r="J255" s="2" t="s">
        <v>2804</v>
      </c>
      <c r="K255" s="2" t="s">
        <v>12</v>
      </c>
      <c r="L255" s="2" t="s">
        <v>3176</v>
      </c>
      <c r="M255" s="2" t="s">
        <v>39</v>
      </c>
      <c r="N255" s="2" t="s">
        <v>40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4367</v>
      </c>
      <c r="B256" s="2" t="s">
        <v>149</v>
      </c>
      <c r="C256" s="2" t="s">
        <v>150</v>
      </c>
      <c r="D256" s="2" t="s">
        <v>8</v>
      </c>
      <c r="E256" s="2" t="s">
        <v>4368</v>
      </c>
      <c r="F256" s="2">
        <v>1034</v>
      </c>
      <c r="G256" s="2" t="s">
        <v>158</v>
      </c>
      <c r="H256" s="2" t="s">
        <v>4369</v>
      </c>
      <c r="I256" s="2" t="s">
        <v>4370</v>
      </c>
      <c r="J256" s="2" t="s">
        <v>4371</v>
      </c>
      <c r="K256" s="2" t="s">
        <v>12</v>
      </c>
      <c r="L256" s="2" t="s">
        <v>3009</v>
      </c>
      <c r="M256" s="2" t="s">
        <v>2706</v>
      </c>
      <c r="N256" s="2" t="s">
        <v>163</v>
      </c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4998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5105</v>
      </c>
      <c r="B258" s="2" t="s">
        <v>149</v>
      </c>
      <c r="C258" s="2" t="s">
        <v>150</v>
      </c>
      <c r="D258" s="2" t="s">
        <v>8</v>
      </c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154</v>
      </c>
      <c r="B259" s="2" t="s">
        <v>149</v>
      </c>
      <c r="C259" s="2" t="s">
        <v>150</v>
      </c>
      <c r="D259" s="2" t="s">
        <v>8</v>
      </c>
      <c r="E259" s="2" t="s">
        <v>152</v>
      </c>
      <c r="F259" s="2">
        <v>1014</v>
      </c>
      <c r="G259" s="2" t="s">
        <v>59</v>
      </c>
      <c r="H259" s="2" t="s">
        <v>151</v>
      </c>
      <c r="I259" s="2" t="s">
        <v>153</v>
      </c>
      <c r="J259" s="2" t="s">
        <v>2724</v>
      </c>
      <c r="K259" s="2" t="s">
        <v>126</v>
      </c>
      <c r="L259" s="2" t="s">
        <v>3176</v>
      </c>
      <c r="M259" s="2" t="s">
        <v>2706</v>
      </c>
      <c r="N259" s="2" t="s">
        <v>66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4362</v>
      </c>
      <c r="B260" s="2" t="s">
        <v>149</v>
      </c>
      <c r="C260" s="2" t="s">
        <v>150</v>
      </c>
      <c r="D260" s="2" t="s">
        <v>8</v>
      </c>
      <c r="E260" s="2" t="s">
        <v>4363</v>
      </c>
      <c r="F260" s="2">
        <v>1034</v>
      </c>
      <c r="G260" s="2" t="s">
        <v>158</v>
      </c>
      <c r="H260" s="2" t="s">
        <v>4364</v>
      </c>
      <c r="I260" s="2" t="s">
        <v>4365</v>
      </c>
      <c r="J260" s="2" t="s">
        <v>4366</v>
      </c>
      <c r="K260" s="2" t="s">
        <v>12</v>
      </c>
      <c r="L260" s="2" t="s">
        <v>3009</v>
      </c>
      <c r="M260" s="2" t="s">
        <v>2706</v>
      </c>
      <c r="N260" s="2" t="s">
        <v>163</v>
      </c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4944</v>
      </c>
      <c r="B261" s="2" t="s">
        <v>149</v>
      </c>
      <c r="C261" s="2" t="s">
        <v>150</v>
      </c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4375</v>
      </c>
      <c r="B262" s="2" t="s">
        <v>149</v>
      </c>
      <c r="C262" s="2" t="s">
        <v>150</v>
      </c>
      <c r="D262" s="2" t="s">
        <v>8</v>
      </c>
      <c r="E262" s="2" t="s">
        <v>4376</v>
      </c>
      <c r="F262" s="2">
        <v>1001</v>
      </c>
      <c r="G262" s="2" t="s">
        <v>9</v>
      </c>
      <c r="H262" s="2" t="s">
        <v>4377</v>
      </c>
      <c r="I262" s="2" t="s">
        <v>4378</v>
      </c>
      <c r="J262" s="2" t="s">
        <v>2740</v>
      </c>
      <c r="K262" s="2" t="s">
        <v>12</v>
      </c>
      <c r="L262" s="2" t="s">
        <v>3009</v>
      </c>
      <c r="M262" s="2" t="s">
        <v>14</v>
      </c>
      <c r="N262" s="2" t="s">
        <v>15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4294</v>
      </c>
      <c r="B263" s="2" t="s">
        <v>149</v>
      </c>
      <c r="C263" s="2" t="s">
        <v>150</v>
      </c>
      <c r="D263" s="2" t="s">
        <v>8</v>
      </c>
      <c r="E263" s="2" t="s">
        <v>4295</v>
      </c>
      <c r="F263" s="2">
        <v>1034</v>
      </c>
      <c r="G263" s="2" t="s">
        <v>158</v>
      </c>
      <c r="H263" s="2" t="s">
        <v>4296</v>
      </c>
      <c r="I263" s="2" t="s">
        <v>4297</v>
      </c>
      <c r="J263" s="2" t="s">
        <v>4298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3616</v>
      </c>
      <c r="B264" s="2" t="s">
        <v>149</v>
      </c>
      <c r="C264" s="2" t="s">
        <v>150</v>
      </c>
      <c r="D264" s="2" t="s">
        <v>8</v>
      </c>
      <c r="E264" s="2" t="s">
        <v>3617</v>
      </c>
      <c r="F264" s="2">
        <v>1034</v>
      </c>
      <c r="G264" s="2" t="s">
        <v>158</v>
      </c>
      <c r="H264" s="2" t="s">
        <v>3618</v>
      </c>
      <c r="I264" s="2" t="s">
        <v>3619</v>
      </c>
      <c r="J264" s="2" t="s">
        <v>3620</v>
      </c>
      <c r="K264" s="2" t="s">
        <v>126</v>
      </c>
      <c r="L264" s="2" t="s">
        <v>3176</v>
      </c>
      <c r="M264" s="2" t="s">
        <v>2706</v>
      </c>
      <c r="N264" s="2" t="s">
        <v>163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3578</v>
      </c>
      <c r="B265" s="2" t="s">
        <v>149</v>
      </c>
      <c r="C265" s="2" t="s">
        <v>150</v>
      </c>
      <c r="D265" s="2" t="s">
        <v>8</v>
      </c>
      <c r="E265" s="2" t="s">
        <v>3579</v>
      </c>
      <c r="F265" s="2">
        <v>1002</v>
      </c>
      <c r="G265" s="2" t="s">
        <v>34</v>
      </c>
      <c r="H265" s="2" t="s">
        <v>3580</v>
      </c>
      <c r="I265" s="2" t="s">
        <v>697</v>
      </c>
      <c r="J265" s="2" t="s">
        <v>2800</v>
      </c>
      <c r="K265" s="2" t="s">
        <v>518</v>
      </c>
      <c r="L265" s="2" t="s">
        <v>3176</v>
      </c>
      <c r="M265" s="2" t="s">
        <v>39</v>
      </c>
      <c r="N265" s="2" t="s">
        <v>40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3602</v>
      </c>
      <c r="B266" s="2" t="s">
        <v>149</v>
      </c>
      <c r="C266" s="2" t="s">
        <v>150</v>
      </c>
      <c r="D266" s="2" t="s">
        <v>8</v>
      </c>
      <c r="E266" s="2" t="s">
        <v>3603</v>
      </c>
      <c r="F266" s="2">
        <v>1028</v>
      </c>
      <c r="G266" s="2" t="s">
        <v>81</v>
      </c>
      <c r="H266" s="2" t="s">
        <v>3604</v>
      </c>
      <c r="I266" s="2" t="s">
        <v>1365</v>
      </c>
      <c r="J266" s="2" t="s">
        <v>2875</v>
      </c>
      <c r="K266" s="2" t="s">
        <v>12</v>
      </c>
      <c r="L266" s="2" t="s">
        <v>3176</v>
      </c>
      <c r="M266" s="2" t="s">
        <v>87</v>
      </c>
      <c r="N266" s="2" t="s">
        <v>88</v>
      </c>
      <c r="O266" s="2" t="s">
        <v>3176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5178</v>
      </c>
      <c r="B267" s="2" t="s">
        <v>149</v>
      </c>
      <c r="C267" s="2" t="s">
        <v>150</v>
      </c>
      <c r="D267" s="2" t="s">
        <v>8</v>
      </c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 t="s">
        <v>3009</v>
      </c>
      <c r="P267" s="2" t="str">
        <f>+VLOOKUP(Maestro_Clientes[[#This Row],[Entrega]],Preparacion!A:B,2,0)</f>
        <v>Expreso</v>
      </c>
    </row>
    <row r="268" spans="1:17" customFormat="1" x14ac:dyDescent="0.25">
      <c r="A268" s="2" t="s">
        <v>3621</v>
      </c>
      <c r="B268" s="2" t="s">
        <v>149</v>
      </c>
      <c r="C268" s="2" t="s">
        <v>150</v>
      </c>
      <c r="D268" s="2" t="s">
        <v>8</v>
      </c>
      <c r="E268" s="2" t="s">
        <v>3622</v>
      </c>
      <c r="F268" s="2">
        <v>1034</v>
      </c>
      <c r="G268" s="2" t="s">
        <v>158</v>
      </c>
      <c r="H268" s="2" t="s">
        <v>3623</v>
      </c>
      <c r="I268" s="2" t="s">
        <v>161</v>
      </c>
      <c r="J268" s="2" t="s">
        <v>2726</v>
      </c>
      <c r="K268" s="2" t="s">
        <v>126</v>
      </c>
      <c r="L268" s="2" t="s">
        <v>3176</v>
      </c>
      <c r="M268" s="2" t="s">
        <v>2706</v>
      </c>
      <c r="N268" s="2" t="s">
        <v>163</v>
      </c>
      <c r="O268" s="2" t="s">
        <v>3176</v>
      </c>
      <c r="P268" s="2" t="str">
        <f>+VLOOKUP(Maestro_Clientes[[#This Row],[Entrega]],Preparacion!A:B,2,0)</f>
        <v>Expreso</v>
      </c>
    </row>
    <row r="269" spans="1:17" x14ac:dyDescent="0.25">
      <c r="A269" s="2" t="s">
        <v>4318</v>
      </c>
      <c r="B269" s="2" t="s">
        <v>149</v>
      </c>
      <c r="C269" s="2" t="s">
        <v>150</v>
      </c>
      <c r="D269" s="2" t="s">
        <v>8</v>
      </c>
      <c r="E269" s="2" t="s">
        <v>4319</v>
      </c>
      <c r="F269" s="2">
        <v>1002</v>
      </c>
      <c r="G269" s="2" t="s">
        <v>34</v>
      </c>
      <c r="H269" s="2" t="s">
        <v>4320</v>
      </c>
      <c r="I269" s="2" t="s">
        <v>4321</v>
      </c>
      <c r="J269" s="2" t="s">
        <v>4322</v>
      </c>
      <c r="K269" s="2" t="s">
        <v>126</v>
      </c>
      <c r="L269" s="2" t="s">
        <v>3176</v>
      </c>
      <c r="M269" s="2" t="s">
        <v>39</v>
      </c>
      <c r="N269" s="2" t="s">
        <v>40</v>
      </c>
      <c r="O269" s="2" t="s">
        <v>3176</v>
      </c>
      <c r="P269" s="2" t="str">
        <f>+VLOOKUP(Maestro_Clientes[[#This Row],[Entrega]],Preparacion!A:B,2,0)</f>
        <v>Expreso</v>
      </c>
      <c r="Q269"/>
    </row>
    <row r="270" spans="1:17" customFormat="1" x14ac:dyDescent="0.25">
      <c r="A270" s="2" t="s">
        <v>4335</v>
      </c>
      <c r="B270" s="2" t="s">
        <v>149</v>
      </c>
      <c r="C270" s="2" t="s">
        <v>150</v>
      </c>
      <c r="D270" s="2" t="s">
        <v>8</v>
      </c>
      <c r="E270" s="2" t="s">
        <v>4336</v>
      </c>
      <c r="F270" s="2">
        <v>1014</v>
      </c>
      <c r="G270" s="2" t="s">
        <v>59</v>
      </c>
      <c r="H270" s="2" t="s">
        <v>4337</v>
      </c>
      <c r="I270" s="2" t="s">
        <v>155</v>
      </c>
      <c r="J270" s="2" t="s">
        <v>2725</v>
      </c>
      <c r="K270" s="2" t="s">
        <v>126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1296</v>
      </c>
      <c r="B271" s="2" t="s">
        <v>149</v>
      </c>
      <c r="C271" s="2" t="s">
        <v>150</v>
      </c>
      <c r="D271" s="2" t="s">
        <v>8</v>
      </c>
      <c r="E271" s="2" t="s">
        <v>1294</v>
      </c>
      <c r="F271" s="2">
        <v>1014</v>
      </c>
      <c r="G271" s="2" t="s">
        <v>59</v>
      </c>
      <c r="H271" s="2" t="s">
        <v>1293</v>
      </c>
      <c r="I271" s="2" t="s">
        <v>1295</v>
      </c>
      <c r="J271" s="2" t="s">
        <v>2866</v>
      </c>
      <c r="K271" s="2" t="s">
        <v>243</v>
      </c>
      <c r="L271" s="2" t="s">
        <v>3176</v>
      </c>
      <c r="M271" s="2" t="s">
        <v>2706</v>
      </c>
      <c r="N271" s="2" t="s">
        <v>66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4279</v>
      </c>
      <c r="B272" s="2" t="s">
        <v>149</v>
      </c>
      <c r="C272" s="2" t="s">
        <v>150</v>
      </c>
      <c r="D272" s="2" t="s">
        <v>8</v>
      </c>
      <c r="E272" s="2" t="s">
        <v>4280</v>
      </c>
      <c r="F272" s="2">
        <v>1034</v>
      </c>
      <c r="G272" s="2" t="s">
        <v>158</v>
      </c>
      <c r="H272" s="2" t="s">
        <v>4281</v>
      </c>
      <c r="I272" s="2" t="s">
        <v>4282</v>
      </c>
      <c r="J272" s="2" t="s">
        <v>4283</v>
      </c>
      <c r="K272" s="2" t="s">
        <v>126</v>
      </c>
      <c r="L272" s="2" t="s">
        <v>3176</v>
      </c>
      <c r="M272" s="2" t="s">
        <v>2706</v>
      </c>
      <c r="N272" s="2" t="s">
        <v>163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3572</v>
      </c>
      <c r="B273" s="2" t="s">
        <v>149</v>
      </c>
      <c r="C273" s="2" t="s">
        <v>150</v>
      </c>
      <c r="D273" s="2" t="s">
        <v>8</v>
      </c>
      <c r="E273" s="2" t="s">
        <v>3573</v>
      </c>
      <c r="F273" s="2">
        <v>1002</v>
      </c>
      <c r="G273" s="2" t="s">
        <v>34</v>
      </c>
      <c r="H273" s="2" t="s">
        <v>3574</v>
      </c>
      <c r="I273" s="2" t="s">
        <v>2139</v>
      </c>
      <c r="J273" s="2" t="s">
        <v>3575</v>
      </c>
      <c r="K273" s="2" t="s">
        <v>186</v>
      </c>
      <c r="L273" s="2" t="s">
        <v>3176</v>
      </c>
      <c r="M273" s="2" t="s">
        <v>39</v>
      </c>
      <c r="N273" s="2" t="s">
        <v>40</v>
      </c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4945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5065</v>
      </c>
      <c r="B275" s="2" t="s">
        <v>149</v>
      </c>
      <c r="C275" s="3" t="s">
        <v>150</v>
      </c>
      <c r="D275" s="2" t="s">
        <v>8</v>
      </c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3176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5064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5066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5067</v>
      </c>
      <c r="B278" s="2" t="s">
        <v>149</v>
      </c>
      <c r="C278" s="3" t="s">
        <v>150</v>
      </c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 t="s">
        <v>3009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4352</v>
      </c>
      <c r="B279" s="2" t="s">
        <v>149</v>
      </c>
      <c r="C279" s="2" t="s">
        <v>150</v>
      </c>
      <c r="D279" s="2" t="s">
        <v>8</v>
      </c>
      <c r="E279" s="2" t="s">
        <v>4353</v>
      </c>
      <c r="F279" s="2">
        <v>1025</v>
      </c>
      <c r="G279" s="2" t="s">
        <v>113</v>
      </c>
      <c r="H279" s="2" t="s">
        <v>4354</v>
      </c>
      <c r="I279" s="2" t="s">
        <v>4355</v>
      </c>
      <c r="J279" s="2" t="s">
        <v>4356</v>
      </c>
      <c r="K279" s="2" t="s">
        <v>126</v>
      </c>
      <c r="L279" s="2" t="s">
        <v>3176</v>
      </c>
      <c r="M279" s="2" t="s">
        <v>118</v>
      </c>
      <c r="N279" s="2" t="s">
        <v>119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2517</v>
      </c>
      <c r="B280" s="2" t="s">
        <v>149</v>
      </c>
      <c r="C280" s="2" t="s">
        <v>150</v>
      </c>
      <c r="D280" s="2" t="s">
        <v>8</v>
      </c>
      <c r="E280" s="2" t="s">
        <v>2515</v>
      </c>
      <c r="F280" s="2">
        <v>1028</v>
      </c>
      <c r="G280" s="2" t="s">
        <v>81</v>
      </c>
      <c r="H280" s="2" t="s">
        <v>2514</v>
      </c>
      <c r="I280" s="2" t="s">
        <v>2516</v>
      </c>
      <c r="J280" s="2" t="s">
        <v>2987</v>
      </c>
      <c r="K280" s="2" t="s">
        <v>126</v>
      </c>
      <c r="L280" s="2" t="s">
        <v>3176</v>
      </c>
      <c r="M280" s="2" t="s">
        <v>87</v>
      </c>
      <c r="N280" s="2" t="s">
        <v>88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3567</v>
      </c>
      <c r="B281" s="2" t="s">
        <v>149</v>
      </c>
      <c r="C281" s="2" t="s">
        <v>150</v>
      </c>
      <c r="D281" s="2" t="s">
        <v>8</v>
      </c>
      <c r="E281" s="2" t="s">
        <v>3568</v>
      </c>
      <c r="F281" s="2">
        <v>1002</v>
      </c>
      <c r="G281" s="2" t="s">
        <v>34</v>
      </c>
      <c r="H281" s="2" t="s">
        <v>3569</v>
      </c>
      <c r="I281" s="2" t="s">
        <v>3570</v>
      </c>
      <c r="J281" s="2" t="s">
        <v>3571</v>
      </c>
      <c r="K281" s="2" t="s">
        <v>126</v>
      </c>
      <c r="L281" s="2" t="s">
        <v>3176</v>
      </c>
      <c r="M281" s="2" t="s">
        <v>39</v>
      </c>
      <c r="N281" s="2" t="s">
        <v>40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3608</v>
      </c>
      <c r="B282" s="2" t="s">
        <v>149</v>
      </c>
      <c r="C282" s="2" t="s">
        <v>150</v>
      </c>
      <c r="D282" s="2" t="s">
        <v>8</v>
      </c>
      <c r="E282" s="2" t="s">
        <v>3609</v>
      </c>
      <c r="F282" s="2">
        <v>1028</v>
      </c>
      <c r="G282" s="2" t="s">
        <v>81</v>
      </c>
      <c r="H282" s="2" t="s">
        <v>3610</v>
      </c>
      <c r="I282" s="2" t="s">
        <v>3611</v>
      </c>
      <c r="J282" s="2" t="s">
        <v>3612</v>
      </c>
      <c r="K282" s="2" t="s">
        <v>126</v>
      </c>
      <c r="L282" s="2" t="s">
        <v>3176</v>
      </c>
      <c r="M282" s="2" t="s">
        <v>87</v>
      </c>
      <c r="N282" s="2" t="s">
        <v>88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4332</v>
      </c>
      <c r="B283" s="2" t="s">
        <v>149</v>
      </c>
      <c r="C283" s="2" t="s">
        <v>150</v>
      </c>
      <c r="D283" s="2" t="s">
        <v>8</v>
      </c>
      <c r="E283" s="2" t="s">
        <v>4333</v>
      </c>
      <c r="F283" s="2">
        <v>1014</v>
      </c>
      <c r="G283" s="2" t="s">
        <v>59</v>
      </c>
      <c r="H283" s="2" t="s">
        <v>4334</v>
      </c>
      <c r="I283" s="2" t="s">
        <v>4267</v>
      </c>
      <c r="J283" s="2" t="s">
        <v>4268</v>
      </c>
      <c r="K283" s="2" t="s">
        <v>126</v>
      </c>
      <c r="L283" s="2" t="s">
        <v>3176</v>
      </c>
      <c r="M283" s="2" t="s">
        <v>2706</v>
      </c>
      <c r="N283" s="2" t="s">
        <v>66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1745</v>
      </c>
      <c r="B284" s="2" t="s">
        <v>149</v>
      </c>
      <c r="C284" s="2" t="s">
        <v>150</v>
      </c>
      <c r="D284" s="2" t="s">
        <v>8</v>
      </c>
      <c r="E284" s="2" t="s">
        <v>1743</v>
      </c>
      <c r="F284" s="2">
        <v>1002</v>
      </c>
      <c r="G284" s="2" t="s">
        <v>34</v>
      </c>
      <c r="H284" s="2" t="s">
        <v>1742</v>
      </c>
      <c r="I284" s="2" t="s">
        <v>1744</v>
      </c>
      <c r="J284" s="2" t="s">
        <v>2914</v>
      </c>
      <c r="K284" s="2" t="s">
        <v>126</v>
      </c>
      <c r="L284" s="2" t="s">
        <v>3176</v>
      </c>
      <c r="M284" s="2" t="s">
        <v>39</v>
      </c>
      <c r="N284" s="2" t="s">
        <v>40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4299</v>
      </c>
      <c r="B285" s="2" t="s">
        <v>149</v>
      </c>
      <c r="C285" s="2" t="s">
        <v>150</v>
      </c>
      <c r="D285" s="2" t="s">
        <v>8</v>
      </c>
      <c r="E285" s="2" t="s">
        <v>4300</v>
      </c>
      <c r="F285" s="2">
        <v>1034</v>
      </c>
      <c r="G285" s="2" t="s">
        <v>158</v>
      </c>
      <c r="H285" s="2" t="s">
        <v>4301</v>
      </c>
      <c r="I285" s="2" t="s">
        <v>4302</v>
      </c>
      <c r="J285" s="2" t="s">
        <v>4303</v>
      </c>
      <c r="K285" s="2" t="s">
        <v>126</v>
      </c>
      <c r="L285" s="2" t="s">
        <v>3176</v>
      </c>
      <c r="M285" s="2" t="s">
        <v>2706</v>
      </c>
      <c r="N285" s="2" t="s">
        <v>163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4304</v>
      </c>
      <c r="B286" s="2" t="s">
        <v>149</v>
      </c>
      <c r="C286" s="2" t="s">
        <v>150</v>
      </c>
      <c r="D286" s="2" t="s">
        <v>8</v>
      </c>
      <c r="E286" s="2" t="s">
        <v>4305</v>
      </c>
      <c r="F286" s="2">
        <v>1014</v>
      </c>
      <c r="G286" s="2" t="s">
        <v>59</v>
      </c>
      <c r="H286" s="2" t="s">
        <v>4306</v>
      </c>
      <c r="I286" s="2" t="s">
        <v>4307</v>
      </c>
      <c r="J286" s="2" t="s">
        <v>4308</v>
      </c>
      <c r="K286" s="2" t="s">
        <v>126</v>
      </c>
      <c r="L286" s="2" t="s">
        <v>3176</v>
      </c>
      <c r="M286" s="2" t="s">
        <v>2706</v>
      </c>
      <c r="N286" s="2" t="s">
        <v>66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4289</v>
      </c>
      <c r="B287" s="2" t="s">
        <v>149</v>
      </c>
      <c r="C287" s="2" t="s">
        <v>150</v>
      </c>
      <c r="D287" s="2" t="s">
        <v>8</v>
      </c>
      <c r="E287" s="2" t="s">
        <v>4290</v>
      </c>
      <c r="F287" s="2">
        <v>1034</v>
      </c>
      <c r="G287" s="2" t="s">
        <v>158</v>
      </c>
      <c r="H287" s="2" t="s">
        <v>4291</v>
      </c>
      <c r="I287" s="2" t="s">
        <v>4292</v>
      </c>
      <c r="J287" s="2" t="s">
        <v>4293</v>
      </c>
      <c r="K287" s="2" t="s">
        <v>126</v>
      </c>
      <c r="L287" s="2" t="s">
        <v>3176</v>
      </c>
      <c r="M287" s="2" t="s">
        <v>2706</v>
      </c>
      <c r="N287" s="2" t="s">
        <v>163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3581</v>
      </c>
      <c r="B288" s="2" t="s">
        <v>149</v>
      </c>
      <c r="C288" s="2" t="s">
        <v>150</v>
      </c>
      <c r="D288" s="2" t="s">
        <v>8</v>
      </c>
      <c r="E288" s="2" t="s">
        <v>3582</v>
      </c>
      <c r="F288" s="2">
        <v>1002</v>
      </c>
      <c r="G288" s="2" t="s">
        <v>34</v>
      </c>
      <c r="H288" s="2" t="s">
        <v>3583</v>
      </c>
      <c r="I288" s="2" t="s">
        <v>3584</v>
      </c>
      <c r="J288" s="2" t="s">
        <v>3585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4323</v>
      </c>
      <c r="B289" s="2" t="s">
        <v>149</v>
      </c>
      <c r="C289" s="2" t="s">
        <v>150</v>
      </c>
      <c r="D289" s="2" t="s">
        <v>8</v>
      </c>
      <c r="E289" s="2" t="s">
        <v>4324</v>
      </c>
      <c r="F289" s="2">
        <v>1002</v>
      </c>
      <c r="G289" s="2" t="s">
        <v>34</v>
      </c>
      <c r="H289" s="2" t="s">
        <v>4325</v>
      </c>
      <c r="I289" s="2" t="s">
        <v>126</v>
      </c>
      <c r="J289" s="2" t="s">
        <v>2760</v>
      </c>
      <c r="K289" s="2" t="s">
        <v>126</v>
      </c>
      <c r="L289" s="2" t="s">
        <v>3176</v>
      </c>
      <c r="M289" s="2" t="s">
        <v>39</v>
      </c>
      <c r="N289" s="2" t="s">
        <v>40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4326</v>
      </c>
      <c r="B290" s="2" t="s">
        <v>149</v>
      </c>
      <c r="C290" s="2" t="s">
        <v>150</v>
      </c>
      <c r="D290" s="2" t="s">
        <v>8</v>
      </c>
      <c r="E290" s="2" t="s">
        <v>4327</v>
      </c>
      <c r="F290" s="2">
        <v>1034</v>
      </c>
      <c r="G290" s="2" t="s">
        <v>158</v>
      </c>
      <c r="H290" s="2" t="s">
        <v>4328</v>
      </c>
      <c r="I290" s="2" t="s">
        <v>3570</v>
      </c>
      <c r="J290" s="2" t="s">
        <v>3571</v>
      </c>
      <c r="K290" s="2" t="s">
        <v>126</v>
      </c>
      <c r="L290" s="2" t="s">
        <v>3176</v>
      </c>
      <c r="M290" s="2" t="s">
        <v>2706</v>
      </c>
      <c r="N290" s="2" t="s">
        <v>163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2155</v>
      </c>
      <c r="B291" s="2" t="s">
        <v>149</v>
      </c>
      <c r="C291" s="2" t="s">
        <v>150</v>
      </c>
      <c r="D291" s="2" t="s">
        <v>8</v>
      </c>
      <c r="E291" s="2" t="s">
        <v>2153</v>
      </c>
      <c r="F291" s="2">
        <v>1002</v>
      </c>
      <c r="G291" s="2" t="s">
        <v>34</v>
      </c>
      <c r="H291" s="2" t="s">
        <v>2152</v>
      </c>
      <c r="I291" s="2" t="s">
        <v>2154</v>
      </c>
      <c r="J291" s="2" t="s">
        <v>2949</v>
      </c>
      <c r="K291" s="2" t="s">
        <v>126</v>
      </c>
      <c r="L291" s="2" t="s">
        <v>3176</v>
      </c>
      <c r="M291" s="2" t="s">
        <v>39</v>
      </c>
      <c r="N291" s="2" t="s">
        <v>40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3624</v>
      </c>
      <c r="B292" s="2" t="s">
        <v>149</v>
      </c>
      <c r="C292" s="2" t="s">
        <v>150</v>
      </c>
      <c r="D292" s="2" t="s">
        <v>8</v>
      </c>
      <c r="E292" s="2" t="s">
        <v>3625</v>
      </c>
      <c r="F292" s="2">
        <v>1034</v>
      </c>
      <c r="G292" s="2" t="s">
        <v>158</v>
      </c>
      <c r="H292" s="2" t="s">
        <v>3626</v>
      </c>
      <c r="I292" s="2" t="s">
        <v>126</v>
      </c>
      <c r="J292" s="2" t="s">
        <v>2760</v>
      </c>
      <c r="K292" s="2" t="s">
        <v>126</v>
      </c>
      <c r="L292" s="2" t="s">
        <v>3176</v>
      </c>
      <c r="M292" s="2" t="s">
        <v>2706</v>
      </c>
      <c r="N292" s="2" t="s">
        <v>163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3613</v>
      </c>
      <c r="B293" s="2" t="s">
        <v>149</v>
      </c>
      <c r="C293" s="2" t="s">
        <v>150</v>
      </c>
      <c r="D293" s="2" t="s">
        <v>8</v>
      </c>
      <c r="E293" s="2" t="s">
        <v>3614</v>
      </c>
      <c r="F293" s="2">
        <v>1025</v>
      </c>
      <c r="G293" s="2" t="s">
        <v>113</v>
      </c>
      <c r="H293" s="2" t="s">
        <v>3615</v>
      </c>
      <c r="I293" s="2" t="s">
        <v>155</v>
      </c>
      <c r="J293" s="2" t="s">
        <v>2725</v>
      </c>
      <c r="K293" s="2" t="s">
        <v>126</v>
      </c>
      <c r="L293" s="2" t="s">
        <v>3176</v>
      </c>
      <c r="M293" s="2" t="s">
        <v>118</v>
      </c>
      <c r="N293" s="2" t="s">
        <v>119</v>
      </c>
      <c r="O293" s="2" t="str">
        <f>_xlfn.IFNA(+VLOOKUP(Maestro_Clientes[[#This Row],[Zona]],Tabla1[[#All],[Cruce Reportes]:[ENTREGA ]],2,0),Maestro_Clientes[[#This Row],[Zona]])</f>
        <v>Expreso</v>
      </c>
      <c r="P293" s="2" t="str">
        <f>+VLOOKUP(Maestro_Clientes[[#This Row],[Entrega]],Preparacion!A:B,2,0)</f>
        <v>Expreso</v>
      </c>
    </row>
    <row r="294" spans="1:17" customFormat="1" x14ac:dyDescent="0.25">
      <c r="A294" s="2" t="s">
        <v>5139</v>
      </c>
      <c r="B294" s="2" t="s">
        <v>149</v>
      </c>
      <c r="C294" s="2" t="s">
        <v>150</v>
      </c>
      <c r="D294" s="2" t="s">
        <v>8</v>
      </c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 t="s">
        <v>3176</v>
      </c>
      <c r="P294" s="2" t="str">
        <f>+VLOOKUP(Maestro_Clientes[[#This Row],[Entrega]],Preparacion!A:B,2,0)</f>
        <v>Expreso</v>
      </c>
      <c r="Q294" s="2"/>
    </row>
    <row r="295" spans="1:17" customFormat="1" x14ac:dyDescent="0.25">
      <c r="A295" s="2" t="s">
        <v>4357</v>
      </c>
      <c r="B295" s="2" t="s">
        <v>149</v>
      </c>
      <c r="C295" s="2" t="s">
        <v>150</v>
      </c>
      <c r="D295" s="2" t="s">
        <v>8</v>
      </c>
      <c r="E295" s="2" t="s">
        <v>4358</v>
      </c>
      <c r="F295" s="2">
        <v>1034</v>
      </c>
      <c r="G295" s="2" t="s">
        <v>158</v>
      </c>
      <c r="H295" s="2" t="s">
        <v>4359</v>
      </c>
      <c r="I295" s="2" t="s">
        <v>4360</v>
      </c>
      <c r="J295" s="2" t="s">
        <v>4361</v>
      </c>
      <c r="K295" s="2" t="s">
        <v>126</v>
      </c>
      <c r="L295" s="2" t="s">
        <v>3176</v>
      </c>
      <c r="M295" s="2" t="s">
        <v>118</v>
      </c>
      <c r="N295" s="2" t="s">
        <v>163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customFormat="1" x14ac:dyDescent="0.25">
      <c r="A296" s="2" t="s">
        <v>4342</v>
      </c>
      <c r="B296" s="2" t="s">
        <v>149</v>
      </c>
      <c r="C296" s="2" t="s">
        <v>150</v>
      </c>
      <c r="D296" s="2" t="s">
        <v>8</v>
      </c>
      <c r="E296" s="2" t="s">
        <v>4343</v>
      </c>
      <c r="F296" s="2">
        <v>1028</v>
      </c>
      <c r="G296" s="2" t="s">
        <v>81</v>
      </c>
      <c r="H296" s="2" t="s">
        <v>4344</v>
      </c>
      <c r="I296" s="2" t="s">
        <v>4345</v>
      </c>
      <c r="J296" s="2" t="s">
        <v>4346</v>
      </c>
      <c r="K296" s="2" t="s">
        <v>126</v>
      </c>
      <c r="L296" s="2" t="s">
        <v>3176</v>
      </c>
      <c r="M296" s="2" t="s">
        <v>87</v>
      </c>
      <c r="N296" s="2" t="s">
        <v>88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</row>
    <row r="297" spans="1:17" x14ac:dyDescent="0.25">
      <c r="A297" s="2" t="s">
        <v>3576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1002</v>
      </c>
      <c r="G297" s="2" t="s">
        <v>34</v>
      </c>
      <c r="H297" s="2" t="s">
        <v>3577</v>
      </c>
      <c r="I297" s="2" t="s">
        <v>126</v>
      </c>
      <c r="J297" s="2" t="s">
        <v>3571</v>
      </c>
      <c r="K297" s="2" t="s">
        <v>126</v>
      </c>
      <c r="L297" s="2" t="s">
        <v>3176</v>
      </c>
      <c r="M297" s="2" t="s">
        <v>39</v>
      </c>
      <c r="N297" s="2" t="s">
        <v>40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  <c r="Q297"/>
    </row>
    <row r="298" spans="1:17" customFormat="1" x14ac:dyDescent="0.25">
      <c r="A298" s="2" t="s">
        <v>4287</v>
      </c>
      <c r="B298" s="2" t="s">
        <v>149</v>
      </c>
      <c r="C298" s="2" t="s">
        <v>150</v>
      </c>
      <c r="D298" s="2" t="s">
        <v>8</v>
      </c>
      <c r="E298" s="2" t="s">
        <v>3568</v>
      </c>
      <c r="F298" s="2">
        <v>1034</v>
      </c>
      <c r="G298" s="2" t="s">
        <v>158</v>
      </c>
      <c r="H298" s="2" t="s">
        <v>4288</v>
      </c>
      <c r="I298" s="2" t="s">
        <v>3570</v>
      </c>
      <c r="J298" s="2" t="s">
        <v>3571</v>
      </c>
      <c r="K298" s="2" t="s">
        <v>126</v>
      </c>
      <c r="L298" s="2" t="s">
        <v>3176</v>
      </c>
      <c r="M298" s="2" t="s">
        <v>2706</v>
      </c>
      <c r="N298" s="2" t="s">
        <v>163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901</v>
      </c>
      <c r="B299" s="2" t="s">
        <v>149</v>
      </c>
      <c r="C299" s="2" t="s">
        <v>150</v>
      </c>
      <c r="D299" s="2" t="s">
        <v>8</v>
      </c>
      <c r="E299" s="2" t="s">
        <v>899</v>
      </c>
      <c r="F299" s="2">
        <v>1002</v>
      </c>
      <c r="G299" s="2" t="s">
        <v>34</v>
      </c>
      <c r="H299" s="2" t="s">
        <v>898</v>
      </c>
      <c r="I299" s="2" t="s">
        <v>900</v>
      </c>
      <c r="J299" s="2" t="s">
        <v>2825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customFormat="1" x14ac:dyDescent="0.25">
      <c r="A300" s="2" t="s">
        <v>896</v>
      </c>
      <c r="B300" s="2" t="s">
        <v>149</v>
      </c>
      <c r="C300" s="2" t="s">
        <v>150</v>
      </c>
      <c r="D300" s="2" t="s">
        <v>8</v>
      </c>
      <c r="E300" s="2" t="s">
        <v>894</v>
      </c>
      <c r="F300" s="2">
        <v>1002</v>
      </c>
      <c r="G300" s="2" t="s">
        <v>34</v>
      </c>
      <c r="H300" s="2" t="s">
        <v>893</v>
      </c>
      <c r="I300" s="2" t="s">
        <v>895</v>
      </c>
      <c r="J300" s="2" t="s">
        <v>2824</v>
      </c>
      <c r="K300" s="2" t="s">
        <v>126</v>
      </c>
      <c r="L300" s="2" t="s">
        <v>3176</v>
      </c>
      <c r="M300" s="2" t="s">
        <v>39</v>
      </c>
      <c r="N300" s="2" t="s">
        <v>40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</row>
    <row r="301" spans="1:17" x14ac:dyDescent="0.25">
      <c r="A301" s="2" t="s">
        <v>4347</v>
      </c>
      <c r="B301" s="2" t="s">
        <v>149</v>
      </c>
      <c r="C301" s="2" t="s">
        <v>150</v>
      </c>
      <c r="D301" s="2" t="s">
        <v>8</v>
      </c>
      <c r="E301" s="2" t="s">
        <v>4348</v>
      </c>
      <c r="F301" s="2">
        <v>1028</v>
      </c>
      <c r="G301" s="2" t="s">
        <v>81</v>
      </c>
      <c r="H301" s="2" t="s">
        <v>4349</v>
      </c>
      <c r="I301" s="2" t="s">
        <v>4350</v>
      </c>
      <c r="J301" s="2" t="s">
        <v>4351</v>
      </c>
      <c r="K301" s="2" t="s">
        <v>126</v>
      </c>
      <c r="L301" s="2" t="s">
        <v>3176</v>
      </c>
      <c r="M301" s="2" t="s">
        <v>87</v>
      </c>
      <c r="N301" s="2" t="s">
        <v>88</v>
      </c>
      <c r="O301" s="2" t="str">
        <f>_xlfn.IFNA(+VLOOKUP(Maestro_Clientes[[#This Row],[Zona]],Tabla1[[#All],[Cruce Reportes]:[ENTREGA ]],2,0),Maestro_Clientes[[#This Row],[Zona]])</f>
        <v>Expreso</v>
      </c>
      <c r="P301" s="2" t="str">
        <f>+VLOOKUP(Maestro_Clientes[[#This Row],[Entrega]],Preparacion!A:B,2,0)</f>
        <v>Expreso</v>
      </c>
      <c r="Q301"/>
    </row>
    <row r="302" spans="1:17" customFormat="1" x14ac:dyDescent="0.25">
      <c r="A302" s="2" t="s">
        <v>5187</v>
      </c>
      <c r="B302" s="2" t="s">
        <v>149</v>
      </c>
      <c r="C302" s="2" t="s">
        <v>150</v>
      </c>
      <c r="D302" s="2" t="s">
        <v>8</v>
      </c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 t="s">
        <v>3176</v>
      </c>
      <c r="P302" s="2" t="str">
        <f>+VLOOKUP(Maestro_Clientes[[#This Row],[Entrega]],Preparacion!A:B,2,0)</f>
        <v>Expreso</v>
      </c>
      <c r="Q302" s="2"/>
    </row>
    <row r="303" spans="1:17" customFormat="1" x14ac:dyDescent="0.25">
      <c r="A303" s="2" t="s">
        <v>4329</v>
      </c>
      <c r="B303" s="2" t="s">
        <v>149</v>
      </c>
      <c r="C303" s="2" t="s">
        <v>150</v>
      </c>
      <c r="D303" s="2" t="s">
        <v>8</v>
      </c>
      <c r="E303" s="2" t="s">
        <v>4330</v>
      </c>
      <c r="F303" s="2">
        <v>1001</v>
      </c>
      <c r="G303" s="2" t="s">
        <v>9</v>
      </c>
      <c r="H303" s="2" t="s">
        <v>4331</v>
      </c>
      <c r="I303" s="2" t="s">
        <v>1554</v>
      </c>
      <c r="J303" s="2" t="s">
        <v>2895</v>
      </c>
      <c r="K303" s="2" t="s">
        <v>186</v>
      </c>
      <c r="L303" s="2" t="s">
        <v>3176</v>
      </c>
      <c r="M303" s="2" t="s">
        <v>14</v>
      </c>
      <c r="N303" s="2" t="s">
        <v>15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3597</v>
      </c>
      <c r="B304" s="2" t="s">
        <v>149</v>
      </c>
      <c r="C304" s="2" t="s">
        <v>150</v>
      </c>
      <c r="D304" s="2" t="s">
        <v>8</v>
      </c>
      <c r="E304" s="2" t="s">
        <v>3598</v>
      </c>
      <c r="F304" s="2">
        <v>1003</v>
      </c>
      <c r="G304" s="2" t="s">
        <v>807</v>
      </c>
      <c r="H304" s="2" t="s">
        <v>3599</v>
      </c>
      <c r="I304" s="2" t="s">
        <v>3600</v>
      </c>
      <c r="J304" s="2" t="s">
        <v>3601</v>
      </c>
      <c r="K304" s="2" t="s">
        <v>126</v>
      </c>
      <c r="L304" s="2" t="s">
        <v>3176</v>
      </c>
      <c r="M304" s="2" t="s">
        <v>812</v>
      </c>
      <c r="N304" s="2" t="s">
        <v>813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4314</v>
      </c>
      <c r="B305" s="2" t="s">
        <v>149</v>
      </c>
      <c r="C305" s="2" t="s">
        <v>150</v>
      </c>
      <c r="D305" s="2" t="s">
        <v>8</v>
      </c>
      <c r="E305" s="2" t="s">
        <v>4315</v>
      </c>
      <c r="F305" s="2">
        <v>1014</v>
      </c>
      <c r="G305" s="2" t="s">
        <v>59</v>
      </c>
      <c r="H305" s="2" t="s">
        <v>4316</v>
      </c>
      <c r="I305" s="2" t="s">
        <v>4317</v>
      </c>
      <c r="J305" s="2" t="s">
        <v>2865</v>
      </c>
      <c r="K305" s="2" t="s">
        <v>126</v>
      </c>
      <c r="L305" s="2" t="s">
        <v>3176</v>
      </c>
      <c r="M305" s="2" t="s">
        <v>2706</v>
      </c>
      <c r="N305" s="2" t="s">
        <v>66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3627</v>
      </c>
      <c r="B306" s="2" t="s">
        <v>149</v>
      </c>
      <c r="C306" s="2" t="s">
        <v>150</v>
      </c>
      <c r="D306" s="2" t="s">
        <v>8</v>
      </c>
      <c r="E306" s="2" t="s">
        <v>3628</v>
      </c>
      <c r="F306" s="2">
        <v>0</v>
      </c>
      <c r="G306" s="2" t="s">
        <v>3176</v>
      </c>
      <c r="H306" s="2" t="s">
        <v>3629</v>
      </c>
      <c r="I306" s="2" t="s">
        <v>3630</v>
      </c>
      <c r="J306" s="2" t="s">
        <v>3631</v>
      </c>
      <c r="K306" s="2" t="s">
        <v>126</v>
      </c>
      <c r="L306" s="2" t="s">
        <v>3176</v>
      </c>
      <c r="M306" s="2" t="s">
        <v>2706</v>
      </c>
      <c r="N306" s="2" t="s">
        <v>2706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4338</v>
      </c>
      <c r="B307" s="2" t="s">
        <v>149</v>
      </c>
      <c r="C307" s="2" t="s">
        <v>150</v>
      </c>
      <c r="D307" s="2" t="s">
        <v>8</v>
      </c>
      <c r="E307" s="2" t="s">
        <v>4339</v>
      </c>
      <c r="F307" s="2">
        <v>1014</v>
      </c>
      <c r="G307" s="2" t="s">
        <v>59</v>
      </c>
      <c r="H307" s="2" t="s">
        <v>4340</v>
      </c>
      <c r="I307" s="2" t="s">
        <v>4341</v>
      </c>
      <c r="J307" s="2" t="s">
        <v>2725</v>
      </c>
      <c r="K307" s="2" t="s">
        <v>126</v>
      </c>
      <c r="L307" s="2" t="s">
        <v>3176</v>
      </c>
      <c r="M307" s="2" t="s">
        <v>2706</v>
      </c>
      <c r="N307" s="2" t="s">
        <v>66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customFormat="1" x14ac:dyDescent="0.25">
      <c r="A308" s="2" t="s">
        <v>3586</v>
      </c>
      <c r="B308" s="2" t="s">
        <v>149</v>
      </c>
      <c r="C308" s="2" t="s">
        <v>150</v>
      </c>
      <c r="D308" s="2" t="s">
        <v>8</v>
      </c>
      <c r="E308" s="2" t="s">
        <v>3587</v>
      </c>
      <c r="F308" s="2">
        <v>1002</v>
      </c>
      <c r="G308" s="2" t="s">
        <v>34</v>
      </c>
      <c r="H308" s="2" t="s">
        <v>3588</v>
      </c>
      <c r="I308" s="2" t="s">
        <v>649</v>
      </c>
      <c r="J308" s="2" t="s">
        <v>2796</v>
      </c>
      <c r="K308" s="2" t="s">
        <v>12</v>
      </c>
      <c r="L308" s="2" t="s">
        <v>3176</v>
      </c>
      <c r="M308" s="2" t="s">
        <v>39</v>
      </c>
      <c r="N308" s="2" t="s">
        <v>40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</row>
    <row r="309" spans="1:17" x14ac:dyDescent="0.25">
      <c r="A309" s="2" t="s">
        <v>3605</v>
      </c>
      <c r="B309" s="2" t="s">
        <v>149</v>
      </c>
      <c r="C309" s="2" t="s">
        <v>150</v>
      </c>
      <c r="D309" s="2" t="s">
        <v>8</v>
      </c>
      <c r="E309" s="2" t="s">
        <v>3606</v>
      </c>
      <c r="F309" s="2">
        <v>1028</v>
      </c>
      <c r="G309" s="2" t="s">
        <v>81</v>
      </c>
      <c r="H309" s="2" t="s">
        <v>3607</v>
      </c>
      <c r="I309" s="2" t="s">
        <v>3570</v>
      </c>
      <c r="J309" s="2" t="s">
        <v>2760</v>
      </c>
      <c r="K309" s="2" t="s">
        <v>126</v>
      </c>
      <c r="L309" s="2" t="s">
        <v>3176</v>
      </c>
      <c r="M309" s="2" t="s">
        <v>87</v>
      </c>
      <c r="N309" s="2" t="s">
        <v>88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  <c r="Q309"/>
    </row>
    <row r="310" spans="1:17" customFormat="1" x14ac:dyDescent="0.25">
      <c r="A310" s="2" t="s">
        <v>4284</v>
      </c>
      <c r="B310" s="2" t="s">
        <v>149</v>
      </c>
      <c r="C310" s="2" t="s">
        <v>150</v>
      </c>
      <c r="D310" s="2" t="s">
        <v>8</v>
      </c>
      <c r="E310" s="2" t="s">
        <v>4285</v>
      </c>
      <c r="F310" s="2">
        <v>1034</v>
      </c>
      <c r="G310" s="2" t="s">
        <v>158</v>
      </c>
      <c r="H310" s="2" t="s">
        <v>4286</v>
      </c>
      <c r="I310" s="2" t="s">
        <v>247</v>
      </c>
      <c r="J310" s="2" t="s">
        <v>2741</v>
      </c>
      <c r="K310" s="2" t="s">
        <v>126</v>
      </c>
      <c r="L310" s="2" t="s">
        <v>3176</v>
      </c>
      <c r="M310" s="2" t="s">
        <v>2706</v>
      </c>
      <c r="N310" s="2" t="s">
        <v>163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3594</v>
      </c>
      <c r="B311" s="2" t="s">
        <v>149</v>
      </c>
      <c r="C311" s="2" t="s">
        <v>150</v>
      </c>
      <c r="D311" s="2" t="s">
        <v>8</v>
      </c>
      <c r="E311" s="2" t="s">
        <v>3595</v>
      </c>
      <c r="F311" s="2">
        <v>1028</v>
      </c>
      <c r="G311" s="2" t="s">
        <v>81</v>
      </c>
      <c r="H311" s="2" t="s">
        <v>3596</v>
      </c>
      <c r="I311" s="2" t="s">
        <v>517</v>
      </c>
      <c r="J311" s="2" t="s">
        <v>2777</v>
      </c>
      <c r="K311" s="2" t="s">
        <v>518</v>
      </c>
      <c r="L311" s="2" t="s">
        <v>3176</v>
      </c>
      <c r="M311" s="2" t="s">
        <v>87</v>
      </c>
      <c r="N311" s="2" t="s">
        <v>88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customFormat="1" x14ac:dyDescent="0.25">
      <c r="A312" s="2" t="s">
        <v>4309</v>
      </c>
      <c r="B312" s="2" t="s">
        <v>149</v>
      </c>
      <c r="C312" s="2" t="s">
        <v>150</v>
      </c>
      <c r="D312" s="2" t="s">
        <v>8</v>
      </c>
      <c r="E312" s="2" t="s">
        <v>4310</v>
      </c>
      <c r="F312" s="2">
        <v>1014</v>
      </c>
      <c r="G312" s="2" t="s">
        <v>59</v>
      </c>
      <c r="H312" s="2" t="s">
        <v>4311</v>
      </c>
      <c r="I312" s="2" t="s">
        <v>4312</v>
      </c>
      <c r="J312" s="2" t="s">
        <v>4313</v>
      </c>
      <c r="K312" s="2" t="s">
        <v>126</v>
      </c>
      <c r="L312" s="2" t="s">
        <v>3176</v>
      </c>
      <c r="M312" s="2" t="s">
        <v>2706</v>
      </c>
      <c r="N312" s="2" t="s">
        <v>66</v>
      </c>
      <c r="O312" s="2" t="str">
        <f>_xlfn.IFNA(+VLOOKUP(Maestro_Clientes[[#This Row],[Zona]],Tabla1[[#All],[Cruce Reportes]:[ENTREGA ]],2,0),Maestro_Clientes[[#This Row],[Zona]])</f>
        <v>Expreso</v>
      </c>
      <c r="P312" s="2" t="str">
        <f>+VLOOKUP(Maestro_Clientes[[#This Row],[Entrega]],Preparacion!A:B,2,0)</f>
        <v>Expreso</v>
      </c>
    </row>
    <row r="313" spans="1:17" x14ac:dyDescent="0.25">
      <c r="A313" s="2" t="s">
        <v>892</v>
      </c>
      <c r="B313" s="2" t="s">
        <v>887</v>
      </c>
      <c r="C313" s="2" t="s">
        <v>888</v>
      </c>
      <c r="D313" s="2" t="s">
        <v>8</v>
      </c>
      <c r="E313" s="2" t="s">
        <v>890</v>
      </c>
      <c r="F313" s="2">
        <v>1002</v>
      </c>
      <c r="G313" s="2" t="s">
        <v>34</v>
      </c>
      <c r="H313" s="2" t="s">
        <v>889</v>
      </c>
      <c r="I313" s="2" t="s">
        <v>891</v>
      </c>
      <c r="J313" s="2" t="s">
        <v>2714</v>
      </c>
      <c r="K313" s="2" t="s">
        <v>12</v>
      </c>
      <c r="L313" s="2" t="s">
        <v>85</v>
      </c>
      <c r="M313" s="2" t="s">
        <v>39</v>
      </c>
      <c r="N313" s="2" t="s">
        <v>40</v>
      </c>
      <c r="O313" s="2" t="str">
        <f>_xlfn.IFNA(+VLOOKUP(Maestro_Clientes[[#This Row],[Zona]],Tabla1[[#All],[Cruce Reportes]:[ENTREGA ]],2,0),Maestro_Clientes[[#This Row],[Zona]])</f>
        <v>LUNES</v>
      </c>
      <c r="P313" s="2" t="str">
        <f>+VLOOKUP(Maestro_Clientes[[#This Row],[Entrega]],Preparacion!A:B,2,0)</f>
        <v>JUEVES</v>
      </c>
    </row>
    <row r="314" spans="1:17" customFormat="1" x14ac:dyDescent="0.25">
      <c r="A314" s="2" t="s">
        <v>2389</v>
      </c>
      <c r="B314" s="2" t="s">
        <v>2385</v>
      </c>
      <c r="C314" s="2" t="s">
        <v>2386</v>
      </c>
      <c r="D314" s="2" t="s">
        <v>8</v>
      </c>
      <c r="E314" s="2" t="s">
        <v>2388</v>
      </c>
      <c r="F314" s="2">
        <v>1014</v>
      </c>
      <c r="G314" s="2" t="s">
        <v>59</v>
      </c>
      <c r="H314" s="2" t="s">
        <v>2387</v>
      </c>
      <c r="I314" s="2" t="s">
        <v>126</v>
      </c>
      <c r="J314" s="2" t="s">
        <v>2976</v>
      </c>
      <c r="K314" s="2" t="s">
        <v>126</v>
      </c>
      <c r="L314" s="2" t="s">
        <v>3176</v>
      </c>
      <c r="M314" s="2" t="s">
        <v>2706</v>
      </c>
      <c r="N314" s="2" t="s">
        <v>66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</row>
    <row r="315" spans="1:17" x14ac:dyDescent="0.25">
      <c r="A315" s="2" t="s">
        <v>3564</v>
      </c>
      <c r="B315" s="2" t="s">
        <v>2385</v>
      </c>
      <c r="C315" s="2" t="s">
        <v>2386</v>
      </c>
      <c r="D315" s="2" t="s">
        <v>8</v>
      </c>
      <c r="E315" s="2" t="s">
        <v>3565</v>
      </c>
      <c r="F315" s="2">
        <v>1025</v>
      </c>
      <c r="G315" s="2" t="s">
        <v>113</v>
      </c>
      <c r="H315" s="2" t="s">
        <v>3566</v>
      </c>
      <c r="I315" s="2" t="s">
        <v>128</v>
      </c>
      <c r="J315" s="2" t="s">
        <v>2720</v>
      </c>
      <c r="K315" s="2" t="s">
        <v>126</v>
      </c>
      <c r="L315" s="2" t="s">
        <v>3176</v>
      </c>
      <c r="M315" s="2" t="s">
        <v>118</v>
      </c>
      <c r="N315" s="2" t="s">
        <v>119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  <c r="Q315"/>
    </row>
    <row r="316" spans="1:17" customFormat="1" x14ac:dyDescent="0.25">
      <c r="A316" s="2" t="s">
        <v>598</v>
      </c>
      <c r="B316" s="2" t="s">
        <v>593</v>
      </c>
      <c r="C316" s="2" t="s">
        <v>594</v>
      </c>
      <c r="D316" s="2" t="s">
        <v>8</v>
      </c>
      <c r="E316" s="2" t="s">
        <v>596</v>
      </c>
      <c r="F316" s="2">
        <v>1014</v>
      </c>
      <c r="G316" s="2" t="s">
        <v>59</v>
      </c>
      <c r="H316" s="2" t="s">
        <v>595</v>
      </c>
      <c r="I316" s="2" t="s">
        <v>597</v>
      </c>
      <c r="J316" s="2" t="s">
        <v>2760</v>
      </c>
      <c r="K316" s="2" t="s">
        <v>126</v>
      </c>
      <c r="L316" s="2" t="s">
        <v>3176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Expreso</v>
      </c>
      <c r="P316" s="2" t="str">
        <f>+VLOOKUP(Maestro_Clientes[[#This Row],[Entrega]],Preparacion!A:B,2,0)</f>
        <v>Expreso</v>
      </c>
    </row>
    <row r="317" spans="1:17" customFormat="1" x14ac:dyDescent="0.25">
      <c r="A317" s="2" t="s">
        <v>857</v>
      </c>
      <c r="B317" s="2" t="s">
        <v>593</v>
      </c>
      <c r="C317" s="2" t="s">
        <v>594</v>
      </c>
      <c r="D317" s="2" t="s">
        <v>8</v>
      </c>
      <c r="E317" s="2" t="s">
        <v>856</v>
      </c>
      <c r="F317" s="2">
        <v>1014</v>
      </c>
      <c r="G317" s="2" t="s">
        <v>59</v>
      </c>
      <c r="H317" s="2" t="s">
        <v>855</v>
      </c>
      <c r="I317" s="2" t="s">
        <v>855</v>
      </c>
      <c r="J317" s="2" t="s">
        <v>2820</v>
      </c>
      <c r="K317" s="2" t="s">
        <v>12</v>
      </c>
      <c r="L317" s="2" t="s">
        <v>346</v>
      </c>
      <c r="M317" s="2" t="s">
        <v>2706</v>
      </c>
      <c r="N317" s="2" t="s">
        <v>66</v>
      </c>
      <c r="O317" s="2" t="str">
        <f>_xlfn.IFNA(+VLOOKUP(Maestro_Clientes[[#This Row],[Zona]],Tabla1[[#All],[Cruce Reportes]:[ENTREGA ]],2,0),Maestro_Clientes[[#This Row],[Zona]])</f>
        <v>LUNES</v>
      </c>
      <c r="P317" s="2" t="str">
        <f>+VLOOKUP(Maestro_Clientes[[#This Row],[Entrega]],Preparacion!A:B,2,0)</f>
        <v>JUEVES</v>
      </c>
      <c r="Q317" s="2"/>
    </row>
    <row r="318" spans="1:17" customFormat="1" x14ac:dyDescent="0.25">
      <c r="A318" s="2" t="s">
        <v>2686</v>
      </c>
      <c r="B318" s="2" t="s">
        <v>2683</v>
      </c>
      <c r="C318" s="2" t="s">
        <v>2684</v>
      </c>
      <c r="D318" s="2" t="s">
        <v>8</v>
      </c>
      <c r="E318" s="2" t="s">
        <v>2685</v>
      </c>
      <c r="F318" s="2">
        <v>1025</v>
      </c>
      <c r="G318" s="2" t="s">
        <v>113</v>
      </c>
      <c r="H318" s="2" t="s">
        <v>1127</v>
      </c>
      <c r="I318" s="2" t="s">
        <v>1412</v>
      </c>
      <c r="J318" s="2" t="s">
        <v>2883</v>
      </c>
      <c r="K318" s="2" t="s">
        <v>1129</v>
      </c>
      <c r="L318" s="2" t="s">
        <v>3176</v>
      </c>
      <c r="M318" s="2" t="s">
        <v>118</v>
      </c>
      <c r="N318" s="2" t="s">
        <v>119</v>
      </c>
      <c r="O318" s="2" t="str">
        <f>_xlfn.IFNA(+VLOOKUP(Maestro_Clientes[[#This Row],[Zona]],Tabla1[[#All],[Cruce Reportes]:[ENTREGA ]],2,0),Maestro_Clientes[[#This Row],[Zona]])</f>
        <v>Expreso</v>
      </c>
      <c r="P318" s="2" t="str">
        <f>+VLOOKUP(Maestro_Clientes[[#This Row],[Entrega]],Preparacion!A:B,2,0)</f>
        <v>Expreso</v>
      </c>
    </row>
    <row r="319" spans="1:17" customFormat="1" x14ac:dyDescent="0.25">
      <c r="A319" s="2" t="s">
        <v>4030</v>
      </c>
      <c r="B319" s="2" t="s">
        <v>4031</v>
      </c>
      <c r="C319" s="2" t="s">
        <v>4032</v>
      </c>
      <c r="D319" s="2" t="s">
        <v>8</v>
      </c>
      <c r="E319" s="2" t="s">
        <v>4033</v>
      </c>
      <c r="F319" s="2">
        <v>1034</v>
      </c>
      <c r="G319" s="2" t="s">
        <v>158</v>
      </c>
      <c r="H319" s="2" t="s">
        <v>256</v>
      </c>
      <c r="I319" s="2" t="s">
        <v>256</v>
      </c>
      <c r="J319" s="2" t="s">
        <v>2743</v>
      </c>
      <c r="K319" s="2" t="s">
        <v>12</v>
      </c>
      <c r="L319" s="2" t="s">
        <v>256</v>
      </c>
      <c r="M319" s="2" t="s">
        <v>2706</v>
      </c>
      <c r="N319" s="2" t="s">
        <v>163</v>
      </c>
      <c r="O319" s="2" t="str">
        <f>_xlfn.IFNA(+VLOOKUP(Maestro_Clientes[[#This Row],[Zona]],Tabla1[[#All],[Cruce Reportes]:[ENTREGA ]],2,0),Maestro_Clientes[[#This Row],[Zona]])</f>
        <v>LUNES</v>
      </c>
      <c r="P319" s="2" t="str">
        <f>+VLOOKUP(Maestro_Clientes[[#This Row],[Entrega]],Preparacion!A:B,2,0)</f>
        <v>JUEVES</v>
      </c>
      <c r="Q319" s="2"/>
    </row>
    <row r="320" spans="1:17" customFormat="1" x14ac:dyDescent="0.25">
      <c r="A320" s="2" t="s">
        <v>4379</v>
      </c>
      <c r="B320" s="2" t="s">
        <v>4380</v>
      </c>
      <c r="C320" s="2" t="s">
        <v>4381</v>
      </c>
      <c r="D320" s="2" t="s">
        <v>8</v>
      </c>
      <c r="E320" s="2" t="s">
        <v>4382</v>
      </c>
      <c r="F320" s="2">
        <v>1028</v>
      </c>
      <c r="G320" s="2" t="s">
        <v>81</v>
      </c>
      <c r="H320" s="2" t="s">
        <v>2361</v>
      </c>
      <c r="I320" s="2" t="s">
        <v>3534</v>
      </c>
      <c r="J320" s="2" t="s">
        <v>3535</v>
      </c>
      <c r="K320" s="2" t="s">
        <v>186</v>
      </c>
      <c r="L320" s="2" t="s">
        <v>3009</v>
      </c>
      <c r="M320" s="2" t="s">
        <v>87</v>
      </c>
      <c r="N320" s="2" t="s">
        <v>88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162</v>
      </c>
      <c r="B321" s="2" t="s">
        <v>156</v>
      </c>
      <c r="C321" s="2" t="s">
        <v>157</v>
      </c>
      <c r="D321" s="2" t="s">
        <v>8</v>
      </c>
      <c r="E321" s="2" t="s">
        <v>160</v>
      </c>
      <c r="F321" s="2">
        <v>1034</v>
      </c>
      <c r="G321" s="2" t="s">
        <v>158</v>
      </c>
      <c r="H321" s="2" t="s">
        <v>159</v>
      </c>
      <c r="I321" s="2" t="s">
        <v>161</v>
      </c>
      <c r="J321" s="2" t="s">
        <v>2726</v>
      </c>
      <c r="K321" s="2" t="s">
        <v>126</v>
      </c>
      <c r="L321" s="2" t="s">
        <v>3176</v>
      </c>
      <c r="M321" s="2" t="s">
        <v>2706</v>
      </c>
      <c r="N321" s="2" t="s">
        <v>163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1974</v>
      </c>
      <c r="B322" s="2" t="s">
        <v>156</v>
      </c>
      <c r="C322" s="2" t="s">
        <v>157</v>
      </c>
      <c r="D322" s="2" t="s">
        <v>8</v>
      </c>
      <c r="E322" s="2" t="s">
        <v>1972</v>
      </c>
      <c r="F322" s="2">
        <v>1002</v>
      </c>
      <c r="G322" s="2" t="s">
        <v>34</v>
      </c>
      <c r="H322" s="2" t="s">
        <v>1971</v>
      </c>
      <c r="I322" s="2" t="s">
        <v>1973</v>
      </c>
      <c r="J322" s="2" t="s">
        <v>2935</v>
      </c>
      <c r="K322" s="2" t="s">
        <v>126</v>
      </c>
      <c r="L322" s="2" t="s">
        <v>3176</v>
      </c>
      <c r="M322" s="2" t="s">
        <v>39</v>
      </c>
      <c r="N322" s="2" t="s">
        <v>40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4261</v>
      </c>
      <c r="B323" s="2" t="s">
        <v>156</v>
      </c>
      <c r="C323" s="2" t="s">
        <v>157</v>
      </c>
      <c r="D323" s="2" t="s">
        <v>8</v>
      </c>
      <c r="E323" s="2" t="s">
        <v>4262</v>
      </c>
      <c r="F323" s="2">
        <v>1023</v>
      </c>
      <c r="G323" s="2" t="s">
        <v>2092</v>
      </c>
      <c r="H323" s="2" t="s">
        <v>4263</v>
      </c>
      <c r="I323" s="2" t="s">
        <v>2365</v>
      </c>
      <c r="J323" s="2" t="s">
        <v>2972</v>
      </c>
      <c r="K323" s="2" t="s">
        <v>1015</v>
      </c>
      <c r="L323" s="2" t="s">
        <v>3009</v>
      </c>
      <c r="M323" s="2" t="s">
        <v>2093</v>
      </c>
      <c r="N323" s="2" t="s">
        <v>2094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2536</v>
      </c>
      <c r="B324" s="2" t="s">
        <v>156</v>
      </c>
      <c r="C324" s="2" t="s">
        <v>157</v>
      </c>
      <c r="D324" s="2" t="s">
        <v>8</v>
      </c>
      <c r="E324" s="2" t="s">
        <v>2534</v>
      </c>
      <c r="F324" s="2">
        <v>1025</v>
      </c>
      <c r="G324" s="2" t="s">
        <v>113</v>
      </c>
      <c r="H324" s="2" t="s">
        <v>2533</v>
      </c>
      <c r="I324" s="2" t="s">
        <v>2535</v>
      </c>
      <c r="J324" s="2" t="s">
        <v>2990</v>
      </c>
      <c r="K324" s="2" t="s">
        <v>126</v>
      </c>
      <c r="L324" s="2" t="s">
        <v>3176</v>
      </c>
      <c r="M324" s="2" t="s">
        <v>118</v>
      </c>
      <c r="N324" s="2" t="s">
        <v>119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221</v>
      </c>
      <c r="B325" s="2" t="s">
        <v>156</v>
      </c>
      <c r="C325" s="2" t="s">
        <v>157</v>
      </c>
      <c r="D325" s="2" t="s">
        <v>8</v>
      </c>
      <c r="E325" s="2" t="s">
        <v>218</v>
      </c>
      <c r="F325" s="2">
        <v>1002</v>
      </c>
      <c r="G325" s="2" t="s">
        <v>34</v>
      </c>
      <c r="H325" s="2" t="s">
        <v>217</v>
      </c>
      <c r="I325" s="2" t="s">
        <v>219</v>
      </c>
      <c r="J325" s="2" t="s">
        <v>2735</v>
      </c>
      <c r="K325" s="2" t="s">
        <v>220</v>
      </c>
      <c r="L325" s="2" t="s">
        <v>3176</v>
      </c>
      <c r="M325" s="2" t="s">
        <v>39</v>
      </c>
      <c r="N325" s="2" t="s">
        <v>40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4264</v>
      </c>
      <c r="B326" s="2" t="s">
        <v>156</v>
      </c>
      <c r="C326" s="2" t="s">
        <v>157</v>
      </c>
      <c r="D326" s="2" t="s">
        <v>8</v>
      </c>
      <c r="E326" s="2" t="s">
        <v>4265</v>
      </c>
      <c r="F326" s="2">
        <v>1014</v>
      </c>
      <c r="G326" s="2" t="s">
        <v>59</v>
      </c>
      <c r="H326" s="2" t="s">
        <v>4266</v>
      </c>
      <c r="I326" s="2" t="s">
        <v>4267</v>
      </c>
      <c r="J326" s="2" t="s">
        <v>4268</v>
      </c>
      <c r="K326" s="2" t="s">
        <v>126</v>
      </c>
      <c r="L326" s="2" t="s">
        <v>3009</v>
      </c>
      <c r="M326" s="2" t="s">
        <v>2706</v>
      </c>
      <c r="N326" s="2" t="s">
        <v>66</v>
      </c>
      <c r="O326" s="2" t="str">
        <f>_xlfn.IFNA(+VLOOKUP(Maestro_Clientes[[#This Row],[Zona]],Tabla1[[#All],[Cruce Reportes]:[ENTREGA ]],2,0),Maestro_Clientes[[#This Row],[Zona]])</f>
        <v>EXPRESO</v>
      </c>
      <c r="P326" s="2" t="str">
        <f>+VLOOKUP(Maestro_Clientes[[#This Row],[Entrega]],Preparacion!A:B,2,0)</f>
        <v>Expreso</v>
      </c>
    </row>
    <row r="327" spans="1:17" customFormat="1" x14ac:dyDescent="0.25">
      <c r="A327" s="2" t="s">
        <v>5100</v>
      </c>
      <c r="B327" s="2" t="s">
        <v>156</v>
      </c>
      <c r="C327" s="2" t="s">
        <v>157</v>
      </c>
      <c r="D327" s="2" t="s">
        <v>8</v>
      </c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 t="s">
        <v>3176</v>
      </c>
      <c r="P327" s="2" t="str">
        <f>+VLOOKUP(Maestro_Clientes[[#This Row],[Entrega]],Preparacion!A:B,2,0)</f>
        <v>Expreso</v>
      </c>
      <c r="Q327" s="2"/>
    </row>
    <row r="328" spans="1:17" customFormat="1" x14ac:dyDescent="0.25">
      <c r="A328" s="2" t="s">
        <v>4269</v>
      </c>
      <c r="B328" s="2" t="s">
        <v>156</v>
      </c>
      <c r="C328" s="2" t="s">
        <v>157</v>
      </c>
      <c r="D328" s="2" t="s">
        <v>8</v>
      </c>
      <c r="E328" s="2" t="s">
        <v>4270</v>
      </c>
      <c r="F328" s="2">
        <v>1028</v>
      </c>
      <c r="G328" s="2" t="s">
        <v>81</v>
      </c>
      <c r="H328" s="2" t="s">
        <v>4271</v>
      </c>
      <c r="I328" s="2" t="s">
        <v>4272</v>
      </c>
      <c r="J328" s="2" t="s">
        <v>2824</v>
      </c>
      <c r="K328" s="2" t="s">
        <v>126</v>
      </c>
      <c r="L328" s="2" t="s">
        <v>3009</v>
      </c>
      <c r="M328" s="2" t="s">
        <v>87</v>
      </c>
      <c r="N328" s="2" t="s">
        <v>88</v>
      </c>
      <c r="O328" s="2" t="str">
        <f>_xlfn.IFNA(+VLOOKUP(Maestro_Clientes[[#This Row],[Zona]],Tabla1[[#All],[Cruce Reportes]:[ENTREGA ]],2,0),Maestro_Clientes[[#This Row],[Zona]])</f>
        <v>EXPRESO</v>
      </c>
      <c r="P328" s="2" t="str">
        <f>+VLOOKUP(Maestro_Clientes[[#This Row],[Entrega]],Preparacion!A:B,2,0)</f>
        <v>Expreso</v>
      </c>
    </row>
    <row r="329" spans="1:17" x14ac:dyDescent="0.25">
      <c r="A329" s="2" t="s">
        <v>5427</v>
      </c>
      <c r="B329" s="2" t="s">
        <v>156</v>
      </c>
      <c r="C329" s="2" t="s">
        <v>157</v>
      </c>
      <c r="D329" s="2" t="s">
        <v>8</v>
      </c>
      <c r="O329" s="2" t="s">
        <v>3176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4230</v>
      </c>
      <c r="B330" s="2" t="s">
        <v>4231</v>
      </c>
      <c r="C330" s="2" t="s">
        <v>4232</v>
      </c>
      <c r="D330" s="2" t="s">
        <v>8</v>
      </c>
      <c r="E330" s="2" t="s">
        <v>4233</v>
      </c>
      <c r="F330" s="2">
        <v>1025</v>
      </c>
      <c r="G330" s="2" t="s">
        <v>113</v>
      </c>
      <c r="H330" s="2" t="s">
        <v>4234</v>
      </c>
      <c r="I330" s="2" t="s">
        <v>317</v>
      </c>
      <c r="J330" s="2" t="s">
        <v>2751</v>
      </c>
      <c r="K330" s="2" t="s">
        <v>126</v>
      </c>
      <c r="L330" s="2" t="s">
        <v>3009</v>
      </c>
      <c r="M330" s="2" t="s">
        <v>118</v>
      </c>
      <c r="N330" s="2" t="s">
        <v>119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customFormat="1" x14ac:dyDescent="0.25">
      <c r="A331" s="2" t="s">
        <v>1265</v>
      </c>
      <c r="B331" s="2" t="s">
        <v>1260</v>
      </c>
      <c r="C331" s="2" t="s">
        <v>1261</v>
      </c>
      <c r="D331" s="2" t="s">
        <v>8</v>
      </c>
      <c r="E331" s="2" t="s">
        <v>1263</v>
      </c>
      <c r="F331" s="2">
        <v>1034</v>
      </c>
      <c r="G331" s="2" t="s">
        <v>158</v>
      </c>
      <c r="H331" s="2" t="s">
        <v>1262</v>
      </c>
      <c r="I331" s="2" t="s">
        <v>1264</v>
      </c>
      <c r="J331" s="2" t="s">
        <v>2863</v>
      </c>
      <c r="K331" s="2" t="s">
        <v>197</v>
      </c>
      <c r="L331" s="2" t="s">
        <v>3176</v>
      </c>
      <c r="M331" s="2" t="s">
        <v>2706</v>
      </c>
      <c r="N331" s="2" t="s">
        <v>163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</row>
    <row r="332" spans="1:17" x14ac:dyDescent="0.25">
      <c r="A332" s="2" t="s">
        <v>170</v>
      </c>
      <c r="B332" s="2" t="s">
        <v>164</v>
      </c>
      <c r="C332" s="2" t="s">
        <v>165</v>
      </c>
      <c r="D332" s="2" t="s">
        <v>8</v>
      </c>
      <c r="E332" s="2" t="s">
        <v>167</v>
      </c>
      <c r="F332" s="2">
        <v>1014</v>
      </c>
      <c r="G332" s="2" t="s">
        <v>59</v>
      </c>
      <c r="H332" s="2" t="s">
        <v>166</v>
      </c>
      <c r="I332" s="2" t="s">
        <v>168</v>
      </c>
      <c r="J332" s="2" t="s">
        <v>2727</v>
      </c>
      <c r="K332" s="2" t="s">
        <v>169</v>
      </c>
      <c r="L332" s="2" t="s">
        <v>3176</v>
      </c>
      <c r="M332" s="2" t="s">
        <v>2706</v>
      </c>
      <c r="N332" s="2" t="s">
        <v>66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  <c r="Q332"/>
    </row>
    <row r="333" spans="1:17" customFormat="1" x14ac:dyDescent="0.25">
      <c r="A333" s="2" t="s">
        <v>1751</v>
      </c>
      <c r="B333" s="2" t="s">
        <v>1746</v>
      </c>
      <c r="C333" s="2" t="s">
        <v>1747</v>
      </c>
      <c r="D333" s="2" t="s">
        <v>8</v>
      </c>
      <c r="E333" s="2" t="s">
        <v>1749</v>
      </c>
      <c r="F333" s="2">
        <v>1001</v>
      </c>
      <c r="G333" s="2" t="s">
        <v>9</v>
      </c>
      <c r="H333" s="2" t="s">
        <v>1748</v>
      </c>
      <c r="I333" s="2" t="s">
        <v>1750</v>
      </c>
      <c r="J333" s="2" t="s">
        <v>2915</v>
      </c>
      <c r="K333" s="2" t="s">
        <v>197</v>
      </c>
      <c r="L333" s="2" t="s">
        <v>3176</v>
      </c>
      <c r="M333" s="2" t="s">
        <v>14</v>
      </c>
      <c r="N333" s="2" t="s">
        <v>15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4273</v>
      </c>
      <c r="B334" s="2" t="s">
        <v>4274</v>
      </c>
      <c r="C334" s="2" t="s">
        <v>4275</v>
      </c>
      <c r="D334" s="2" t="s">
        <v>8</v>
      </c>
      <c r="E334" s="2" t="s">
        <v>1234</v>
      </c>
      <c r="F334" s="2">
        <v>1014</v>
      </c>
      <c r="G334" s="2" t="s">
        <v>59</v>
      </c>
      <c r="H334" s="2" t="s">
        <v>4276</v>
      </c>
      <c r="I334" s="2" t="s">
        <v>4277</v>
      </c>
      <c r="J334" s="2" t="s">
        <v>4278</v>
      </c>
      <c r="K334" s="2" t="s">
        <v>126</v>
      </c>
      <c r="L334" s="2" t="s">
        <v>3009</v>
      </c>
      <c r="M334" s="2" t="s">
        <v>2706</v>
      </c>
      <c r="N334" s="2" t="s">
        <v>66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4235</v>
      </c>
      <c r="B335" s="2" t="s">
        <v>4236</v>
      </c>
      <c r="C335" s="2" t="s">
        <v>4237</v>
      </c>
      <c r="D335" s="2" t="s">
        <v>8</v>
      </c>
      <c r="E335" s="2" t="s">
        <v>4238</v>
      </c>
      <c r="F335" s="2">
        <v>1001</v>
      </c>
      <c r="G335" s="2" t="s">
        <v>9</v>
      </c>
      <c r="H335" s="2" t="s">
        <v>4239</v>
      </c>
      <c r="I335" s="2" t="s">
        <v>4240</v>
      </c>
      <c r="J335" s="2" t="s">
        <v>4241</v>
      </c>
      <c r="K335" s="2" t="s">
        <v>12</v>
      </c>
      <c r="L335" s="2" t="s">
        <v>3009</v>
      </c>
      <c r="M335" s="2" t="s">
        <v>14</v>
      </c>
      <c r="N335" s="2" t="s">
        <v>15</v>
      </c>
      <c r="O335" s="2" t="str">
        <f>_xlfn.IFNA(+VLOOKUP(Maestro_Clientes[[#This Row],[Zona]],Tabla1[[#All],[Cruce Reportes]:[ENTREGA ]],2,0),Maestro_Clientes[[#This Row],[Zona]])</f>
        <v>EXPRESO</v>
      </c>
      <c r="P335" s="2" t="str">
        <f>+VLOOKUP(Maestro_Clientes[[#This Row],[Entrega]],Preparacion!A:B,2,0)</f>
        <v>Expreso</v>
      </c>
    </row>
    <row r="336" spans="1:17" customFormat="1" x14ac:dyDescent="0.25">
      <c r="A336" s="2" t="s">
        <v>791</v>
      </c>
      <c r="B336" s="2" t="s">
        <v>789</v>
      </c>
      <c r="C336" s="2" t="s">
        <v>790</v>
      </c>
      <c r="D336" s="2" t="s">
        <v>8</v>
      </c>
      <c r="E336" s="2" t="s">
        <v>83</v>
      </c>
      <c r="F336" s="2">
        <v>1002</v>
      </c>
      <c r="G336" s="2" t="s">
        <v>34</v>
      </c>
      <c r="H336" s="2" t="s">
        <v>82</v>
      </c>
      <c r="I336" s="2" t="s">
        <v>84</v>
      </c>
      <c r="J336" s="2" t="s">
        <v>2713</v>
      </c>
      <c r="K336" s="2" t="s">
        <v>12</v>
      </c>
      <c r="L336" s="2" t="s">
        <v>85</v>
      </c>
      <c r="M336" s="2" t="s">
        <v>39</v>
      </c>
      <c r="N336" s="2" t="s">
        <v>40</v>
      </c>
      <c r="O336" s="2" t="str">
        <f>_xlfn.IFNA(+VLOOKUP(Maestro_Clientes[[#This Row],[Zona]],Tabla1[[#All],[Cruce Reportes]:[ENTREGA ]],2,0),Maestro_Clientes[[#This Row],[Zona]])</f>
        <v>LUNES</v>
      </c>
      <c r="P336" s="2" t="str">
        <f>+VLOOKUP(Maestro_Clientes[[#This Row],[Entrega]],Preparacion!A:B,2,0)</f>
        <v>JUEVES</v>
      </c>
      <c r="Q336" s="2"/>
    </row>
    <row r="337" spans="1:17" customFormat="1" x14ac:dyDescent="0.25">
      <c r="A337" s="2" t="s">
        <v>1643</v>
      </c>
      <c r="B337" s="2" t="s">
        <v>1639</v>
      </c>
      <c r="C337" s="2" t="s">
        <v>1640</v>
      </c>
      <c r="D337" s="2" t="s">
        <v>8</v>
      </c>
      <c r="E337" s="2" t="s">
        <v>1642</v>
      </c>
      <c r="F337" s="2">
        <v>1001</v>
      </c>
      <c r="G337" s="2" t="s">
        <v>9</v>
      </c>
      <c r="H337" s="2" t="s">
        <v>1641</v>
      </c>
      <c r="I337" s="2" t="s">
        <v>62</v>
      </c>
      <c r="J337" s="2" t="s">
        <v>2822</v>
      </c>
      <c r="K337" s="2" t="s">
        <v>63</v>
      </c>
      <c r="L337" s="2" t="s">
        <v>3068</v>
      </c>
      <c r="M337" s="2" t="s">
        <v>14</v>
      </c>
      <c r="N337" s="2" t="s">
        <v>15</v>
      </c>
      <c r="O337" s="2" t="s">
        <v>3116</v>
      </c>
      <c r="P337" s="2" t="str">
        <f>+VLOOKUP(Maestro_Clientes[[#This Row],[Entrega]],Preparacion!A:B,2,0)</f>
        <v>LUNES</v>
      </c>
    </row>
    <row r="338" spans="1:17" x14ac:dyDescent="0.25">
      <c r="A338" s="2" t="s">
        <v>1809</v>
      </c>
      <c r="B338" s="2" t="s">
        <v>1804</v>
      </c>
      <c r="C338" s="2" t="s">
        <v>1805</v>
      </c>
      <c r="D338" s="2" t="s">
        <v>8</v>
      </c>
      <c r="E338" s="2" t="s">
        <v>1807</v>
      </c>
      <c r="F338" s="2">
        <v>0</v>
      </c>
      <c r="G338" s="2" t="s">
        <v>3176</v>
      </c>
      <c r="H338" s="2" t="s">
        <v>1806</v>
      </c>
      <c r="I338" s="2" t="s">
        <v>1808</v>
      </c>
      <c r="J338" s="2" t="s">
        <v>2919</v>
      </c>
      <c r="K338" s="2" t="s">
        <v>12</v>
      </c>
      <c r="L338" s="2" t="s">
        <v>3176</v>
      </c>
      <c r="M338" s="2" t="s">
        <v>2706</v>
      </c>
      <c r="N338" s="2" t="s">
        <v>2706</v>
      </c>
      <c r="O338" s="2" t="str">
        <f>_xlfn.IFNA(+VLOOKUP(Maestro_Clientes[[#This Row],[Zona]],Tabla1[[#All],[Cruce Reportes]:[ENTREGA ]],2,0),Maestro_Clientes[[#This Row],[Zona]])</f>
        <v>Expreso</v>
      </c>
      <c r="P338" s="2" t="str">
        <f>+VLOOKUP(Maestro_Clientes[[#This Row],[Entrega]],Preparacion!A:B,2,0)</f>
        <v>Expreso</v>
      </c>
      <c r="Q338"/>
    </row>
    <row r="339" spans="1:17" customFormat="1" x14ac:dyDescent="0.25">
      <c r="A339" s="2" t="s">
        <v>2346</v>
      </c>
      <c r="B339" s="2" t="s">
        <v>2342</v>
      </c>
      <c r="C339" s="2" t="s">
        <v>2343</v>
      </c>
      <c r="D339" s="2" t="s">
        <v>8</v>
      </c>
      <c r="E339" s="2" t="s">
        <v>2345</v>
      </c>
      <c r="F339" s="2">
        <v>1002</v>
      </c>
      <c r="G339" s="2" t="s">
        <v>34</v>
      </c>
      <c r="H339" s="2" t="s">
        <v>2344</v>
      </c>
      <c r="I339" s="2" t="s">
        <v>2344</v>
      </c>
      <c r="J339" s="2" t="s">
        <v>2968</v>
      </c>
      <c r="K339" s="2" t="s">
        <v>12</v>
      </c>
      <c r="L339" s="2" t="s">
        <v>2344</v>
      </c>
      <c r="M339" s="2" t="s">
        <v>39</v>
      </c>
      <c r="N339" s="2" t="s">
        <v>40</v>
      </c>
      <c r="O339" s="2" t="s">
        <v>3158</v>
      </c>
      <c r="P339" s="2" t="str">
        <f>+VLOOKUP(Maestro_Clientes[[#This Row],[Entrega]],Preparacion!A:B,2,0)</f>
        <v>MIERCOLES</v>
      </c>
    </row>
    <row r="340" spans="1:17" customFormat="1" x14ac:dyDescent="0.25">
      <c r="A340" s="2" t="s">
        <v>2348</v>
      </c>
      <c r="B340" s="2" t="s">
        <v>2342</v>
      </c>
      <c r="C340" s="2" t="s">
        <v>2343</v>
      </c>
      <c r="D340" s="2" t="s">
        <v>8</v>
      </c>
      <c r="E340" s="2" t="s">
        <v>2347</v>
      </c>
      <c r="F340" s="2">
        <v>1034</v>
      </c>
      <c r="G340" s="2" t="s">
        <v>158</v>
      </c>
      <c r="H340" s="2" t="s">
        <v>251</v>
      </c>
      <c r="I340" s="2" t="s">
        <v>251</v>
      </c>
      <c r="J340" s="2" t="s">
        <v>2968</v>
      </c>
      <c r="K340" s="2" t="s">
        <v>12</v>
      </c>
      <c r="L340" s="2" t="s">
        <v>251</v>
      </c>
      <c r="M340" s="2" t="s">
        <v>2706</v>
      </c>
      <c r="N340" s="2" t="s">
        <v>163</v>
      </c>
      <c r="O340" s="2" t="str">
        <f>_xlfn.IFNA(+VLOOKUP(Maestro_Clientes[[#This Row],[Zona]],Tabla1[[#All],[Cruce Reportes]:[ENTREGA ]],2,0),Maestro_Clientes[[#This Row],[Zona]])</f>
        <v>MIERCOLES</v>
      </c>
      <c r="P340" s="2" t="str">
        <f>+VLOOKUP(Maestro_Clientes[[#This Row],[Entrega]],Preparacion!A:B,2,0)</f>
        <v>LUNES</v>
      </c>
    </row>
    <row r="341" spans="1:17" customFormat="1" x14ac:dyDescent="0.25">
      <c r="A341" s="2" t="s">
        <v>4086</v>
      </c>
      <c r="B341" s="2" t="s">
        <v>4087</v>
      </c>
      <c r="C341" s="2" t="s">
        <v>4088</v>
      </c>
      <c r="D341" s="2" t="s">
        <v>8</v>
      </c>
      <c r="E341" s="2" t="s">
        <v>4089</v>
      </c>
      <c r="F341" s="2">
        <v>0</v>
      </c>
      <c r="G341" s="2" t="s">
        <v>3176</v>
      </c>
      <c r="H341" s="2" t="s">
        <v>4090</v>
      </c>
      <c r="I341" s="2" t="s">
        <v>4090</v>
      </c>
      <c r="J341" s="2" t="s">
        <v>4091</v>
      </c>
      <c r="K341" s="2" t="s">
        <v>12</v>
      </c>
      <c r="L341" s="2" t="s">
        <v>3176</v>
      </c>
      <c r="M341" s="2" t="s">
        <v>2706</v>
      </c>
      <c r="N341" s="2" t="s">
        <v>2706</v>
      </c>
      <c r="O341" s="2" t="str">
        <f>_xlfn.IFNA(+VLOOKUP(Maestro_Clientes[[#This Row],[Zona]],Tabla1[[#All],[Cruce Reportes]:[ENTREGA ]],2,0),Maestro_Clientes[[#This Row],[Zona]])</f>
        <v>Expreso</v>
      </c>
      <c r="P341" s="2" t="str">
        <f>+VLOOKUP(Maestro_Clientes[[#This Row],[Entrega]],Preparacion!A:B,2,0)</f>
        <v>Expreso</v>
      </c>
    </row>
    <row r="342" spans="1:17" customFormat="1" x14ac:dyDescent="0.25">
      <c r="A342" s="2" t="s">
        <v>588</v>
      </c>
      <c r="B342" s="2" t="s">
        <v>585</v>
      </c>
      <c r="C342" s="2" t="s">
        <v>586</v>
      </c>
      <c r="D342" s="2" t="s">
        <v>8</v>
      </c>
      <c r="E342" s="2" t="s">
        <v>587</v>
      </c>
      <c r="F342" s="2">
        <v>1034</v>
      </c>
      <c r="G342" s="2" t="s">
        <v>158</v>
      </c>
      <c r="H342" s="2" t="s">
        <v>91</v>
      </c>
      <c r="I342" s="2" t="s">
        <v>91</v>
      </c>
      <c r="J342" s="2" t="s">
        <v>2714</v>
      </c>
      <c r="K342" s="2" t="s">
        <v>12</v>
      </c>
      <c r="L342" s="2" t="s">
        <v>85</v>
      </c>
      <c r="M342" s="2" t="s">
        <v>2706</v>
      </c>
      <c r="N342" s="2" t="s">
        <v>163</v>
      </c>
      <c r="O342" s="2" t="str">
        <f>_xlfn.IFNA(+VLOOKUP(Maestro_Clientes[[#This Row],[Zona]],Tabla1[[#All],[Cruce Reportes]:[ENTREGA ]],2,0),Maestro_Clientes[[#This Row],[Zona]])</f>
        <v>LUNES</v>
      </c>
      <c r="P342" s="2" t="str">
        <f>+VLOOKUP(Maestro_Clientes[[#This Row],[Entrega]],Preparacion!A:B,2,0)</f>
        <v>JUEVES</v>
      </c>
      <c r="Q342" s="2"/>
    </row>
    <row r="343" spans="1:17" customFormat="1" x14ac:dyDescent="0.25">
      <c r="A343" s="2" t="s">
        <v>2201</v>
      </c>
      <c r="B343" s="2" t="s">
        <v>2197</v>
      </c>
      <c r="C343" s="2" t="s">
        <v>2198</v>
      </c>
      <c r="D343" s="2" t="s">
        <v>8</v>
      </c>
      <c r="E343" s="2" t="s">
        <v>2199</v>
      </c>
      <c r="F343" s="2">
        <v>1028</v>
      </c>
      <c r="G343" s="2" t="s">
        <v>81</v>
      </c>
      <c r="H343" s="2" t="s">
        <v>278</v>
      </c>
      <c r="I343" s="2" t="s">
        <v>2200</v>
      </c>
      <c r="J343" s="2" t="s">
        <v>2957</v>
      </c>
      <c r="K343" s="2" t="s">
        <v>281</v>
      </c>
      <c r="L343" s="2" t="s">
        <v>3176</v>
      </c>
      <c r="M343" s="2" t="s">
        <v>87</v>
      </c>
      <c r="N343" s="2" t="s">
        <v>88</v>
      </c>
      <c r="O343" s="2" t="str">
        <f>_xlfn.IFNA(+VLOOKUP(Maestro_Clientes[[#This Row],[Zona]],Tabla1[[#All],[Cruce Reportes]:[ENTREGA ]],2,0),Maestro_Clientes[[#This Row],[Zona]])</f>
        <v>Expreso</v>
      </c>
      <c r="P343" s="2" t="str">
        <f>+VLOOKUP(Maestro_Clientes[[#This Row],[Entrega]],Preparacion!A:B,2,0)</f>
        <v>Expreso</v>
      </c>
    </row>
    <row r="344" spans="1:17" customFormat="1" x14ac:dyDescent="0.25">
      <c r="A344" s="2" t="s">
        <v>1949</v>
      </c>
      <c r="B344" s="2" t="s">
        <v>1945</v>
      </c>
      <c r="C344" s="2" t="s">
        <v>1946</v>
      </c>
      <c r="D344" s="2" t="s">
        <v>8</v>
      </c>
      <c r="E344" s="2" t="s">
        <v>1947</v>
      </c>
      <c r="F344" s="2">
        <v>1001</v>
      </c>
      <c r="G344" s="2" t="s">
        <v>9</v>
      </c>
      <c r="H344" s="2" t="s">
        <v>1345</v>
      </c>
      <c r="I344" s="2" t="s">
        <v>1948</v>
      </c>
      <c r="J344" s="2" t="s">
        <v>2933</v>
      </c>
      <c r="K344" s="2" t="s">
        <v>12</v>
      </c>
      <c r="L344" s="2" t="s">
        <v>108</v>
      </c>
      <c r="M344" s="2" t="s">
        <v>14</v>
      </c>
      <c r="N344" s="2" t="s">
        <v>15</v>
      </c>
      <c r="O344" s="2" t="s">
        <v>3158</v>
      </c>
      <c r="P344" s="2" t="str">
        <f>+VLOOKUP(Maestro_Clientes[[#This Row],[Entrega]],Preparacion!A:B,2,0)</f>
        <v>MIERCOLES</v>
      </c>
    </row>
    <row r="345" spans="1:17" customFormat="1" x14ac:dyDescent="0.25">
      <c r="A345" s="2" t="s">
        <v>3549</v>
      </c>
      <c r="B345" s="2" t="s">
        <v>3550</v>
      </c>
      <c r="C345" s="2" t="s">
        <v>3551</v>
      </c>
      <c r="D345" s="2" t="s">
        <v>8</v>
      </c>
      <c r="E345" s="2" t="s">
        <v>3552</v>
      </c>
      <c r="F345" s="2">
        <v>1028</v>
      </c>
      <c r="G345" s="2" t="s">
        <v>81</v>
      </c>
      <c r="H345" s="2" t="s">
        <v>3553</v>
      </c>
      <c r="I345" s="2" t="s">
        <v>681</v>
      </c>
      <c r="J345" s="2" t="s">
        <v>2807</v>
      </c>
      <c r="K345" s="2" t="s">
        <v>681</v>
      </c>
      <c r="L345" s="2" t="s">
        <v>3176</v>
      </c>
      <c r="M345" s="2" t="s">
        <v>87</v>
      </c>
      <c r="N345" s="2" t="s">
        <v>88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1443</v>
      </c>
      <c r="B346" s="2" t="s">
        <v>1440</v>
      </c>
      <c r="C346" s="2" t="s">
        <v>1441</v>
      </c>
      <c r="D346" s="2" t="s">
        <v>8</v>
      </c>
      <c r="E346" s="2" t="s">
        <v>1442</v>
      </c>
      <c r="F346" s="2">
        <v>1002</v>
      </c>
      <c r="G346" s="2" t="s">
        <v>34</v>
      </c>
      <c r="H346" s="2" t="s">
        <v>740</v>
      </c>
      <c r="I346" s="2" t="s">
        <v>680</v>
      </c>
      <c r="J346" s="2" t="s">
        <v>2798</v>
      </c>
      <c r="K346" s="2" t="s">
        <v>681</v>
      </c>
      <c r="L346" s="2" t="s">
        <v>3176</v>
      </c>
      <c r="M346" s="2" t="s">
        <v>39</v>
      </c>
      <c r="N346" s="2" t="s">
        <v>40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282</v>
      </c>
      <c r="B347" s="2" t="s">
        <v>276</v>
      </c>
      <c r="C347" s="2" t="s">
        <v>277</v>
      </c>
      <c r="D347" s="2" t="s">
        <v>8</v>
      </c>
      <c r="E347" s="2" t="s">
        <v>279</v>
      </c>
      <c r="F347" s="2">
        <v>1034</v>
      </c>
      <c r="G347" s="2" t="s">
        <v>158</v>
      </c>
      <c r="H347" s="2" t="s">
        <v>278</v>
      </c>
      <c r="I347" s="2" t="s">
        <v>280</v>
      </c>
      <c r="J347" s="2" t="s">
        <v>2746</v>
      </c>
      <c r="K347" s="2" t="s">
        <v>281</v>
      </c>
      <c r="L347" s="2" t="s">
        <v>3176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4383</v>
      </c>
      <c r="B348" s="2" t="s">
        <v>4384</v>
      </c>
      <c r="C348" s="2" t="s">
        <v>4385</v>
      </c>
      <c r="D348" s="2" t="s">
        <v>8</v>
      </c>
      <c r="E348" s="2" t="s">
        <v>4386</v>
      </c>
      <c r="F348" s="2">
        <v>1034</v>
      </c>
      <c r="G348" s="2" t="s">
        <v>158</v>
      </c>
      <c r="H348" s="2" t="s">
        <v>173</v>
      </c>
      <c r="I348" s="2" t="s">
        <v>126</v>
      </c>
      <c r="J348" s="2" t="s">
        <v>2757</v>
      </c>
      <c r="K348" s="2" t="s">
        <v>126</v>
      </c>
      <c r="L348" s="2" t="s">
        <v>3009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708</v>
      </c>
      <c r="B349" s="2" t="s">
        <v>703</v>
      </c>
      <c r="C349" s="2" t="s">
        <v>704</v>
      </c>
      <c r="D349" s="2" t="s">
        <v>8</v>
      </c>
      <c r="E349" s="2" t="s">
        <v>706</v>
      </c>
      <c r="F349" s="2">
        <v>1034</v>
      </c>
      <c r="G349" s="2" t="s">
        <v>158</v>
      </c>
      <c r="H349" s="2" t="s">
        <v>705</v>
      </c>
      <c r="I349" s="2" t="s">
        <v>707</v>
      </c>
      <c r="J349" s="2" t="s">
        <v>2802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691</v>
      </c>
      <c r="B350" s="2" t="s">
        <v>688</v>
      </c>
      <c r="C350" s="2" t="s">
        <v>689</v>
      </c>
      <c r="D350" s="2" t="s">
        <v>8</v>
      </c>
      <c r="E350" s="2" t="s">
        <v>690</v>
      </c>
      <c r="F350" s="2">
        <v>1034</v>
      </c>
      <c r="G350" s="2" t="s">
        <v>158</v>
      </c>
      <c r="H350" s="2" t="s">
        <v>676</v>
      </c>
      <c r="I350" s="2" t="s">
        <v>676</v>
      </c>
      <c r="J350" s="2" t="s">
        <v>2797</v>
      </c>
      <c r="K350" s="2" t="s">
        <v>12</v>
      </c>
      <c r="L350" s="2" t="s">
        <v>3176</v>
      </c>
      <c r="M350" s="2" t="s">
        <v>2706</v>
      </c>
      <c r="N350" s="2" t="s">
        <v>163</v>
      </c>
      <c r="O350" s="2" t="str">
        <f>_xlfn.IFNA(+VLOOKUP(Maestro_Clientes[[#This Row],[Zona]],Tabla1[[#All],[Cruce Reportes]:[ENTREGA ]],2,0),Maestro_Clientes[[#This Row],[Zona]])</f>
        <v>Expreso</v>
      </c>
      <c r="P350" s="2" t="str">
        <f>+VLOOKUP(Maestro_Clientes[[#This Row],[Entrega]],Preparacion!A:B,2,0)</f>
        <v>Expreso</v>
      </c>
    </row>
    <row r="351" spans="1:17" customFormat="1" x14ac:dyDescent="0.25">
      <c r="A351" s="2" t="s">
        <v>3397</v>
      </c>
      <c r="B351" s="2" t="s">
        <v>3398</v>
      </c>
      <c r="C351" s="2" t="s">
        <v>3399</v>
      </c>
      <c r="D351" s="2" t="s">
        <v>8</v>
      </c>
      <c r="E351" s="2" t="s">
        <v>3400</v>
      </c>
      <c r="F351" s="2">
        <v>1025</v>
      </c>
      <c r="G351" s="2" t="s">
        <v>113</v>
      </c>
      <c r="H351" s="2" t="s">
        <v>3401</v>
      </c>
      <c r="I351" s="2" t="s">
        <v>3401</v>
      </c>
      <c r="J351" s="2" t="s">
        <v>3402</v>
      </c>
      <c r="K351" s="2" t="s">
        <v>12</v>
      </c>
      <c r="L351" s="2" t="s">
        <v>3401</v>
      </c>
      <c r="M351" s="2" t="s">
        <v>118</v>
      </c>
      <c r="N351" s="2" t="s">
        <v>119</v>
      </c>
      <c r="O351" s="2" t="s">
        <v>3158</v>
      </c>
      <c r="P351" s="2" t="str">
        <f>+VLOOKUP(Maestro_Clientes[[#This Row],[Entrega]],Preparacion!A:B,2,0)</f>
        <v>MIERCOLES</v>
      </c>
    </row>
    <row r="352" spans="1:17" customFormat="1" x14ac:dyDescent="0.25">
      <c r="A352" s="2" t="s">
        <v>714</v>
      </c>
      <c r="B352" s="2" t="s">
        <v>709</v>
      </c>
      <c r="C352" s="2" t="s">
        <v>710</v>
      </c>
      <c r="D352" s="2" t="s">
        <v>8</v>
      </c>
      <c r="E352" s="2" t="s">
        <v>712</v>
      </c>
      <c r="F352" s="2">
        <v>1014</v>
      </c>
      <c r="G352" s="2" t="s">
        <v>59</v>
      </c>
      <c r="H352" s="2" t="s">
        <v>711</v>
      </c>
      <c r="I352" s="2" t="s">
        <v>713</v>
      </c>
      <c r="J352" s="2" t="s">
        <v>2803</v>
      </c>
      <c r="K352" s="2" t="s">
        <v>12</v>
      </c>
      <c r="L352" s="2" t="s">
        <v>3176</v>
      </c>
      <c r="M352" s="2" t="s">
        <v>2706</v>
      </c>
      <c r="N352" s="2" t="s">
        <v>66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</row>
    <row r="353" spans="1:17" x14ac:dyDescent="0.25">
      <c r="A353" s="2" t="s">
        <v>2576</v>
      </c>
      <c r="B353" s="2" t="s">
        <v>2572</v>
      </c>
      <c r="C353" s="2" t="s">
        <v>2573</v>
      </c>
      <c r="D353" s="2" t="s">
        <v>8</v>
      </c>
      <c r="E353" s="2" t="s">
        <v>2574</v>
      </c>
      <c r="F353" s="2">
        <v>1025</v>
      </c>
      <c r="G353" s="2" t="s">
        <v>113</v>
      </c>
      <c r="H353" s="2" t="s">
        <v>757</v>
      </c>
      <c r="I353" s="2" t="s">
        <v>2575</v>
      </c>
      <c r="J353" s="2" t="s">
        <v>2995</v>
      </c>
      <c r="K353" s="2" t="s">
        <v>243</v>
      </c>
      <c r="L353" s="2" t="s">
        <v>3176</v>
      </c>
      <c r="M353" s="2" t="s">
        <v>118</v>
      </c>
      <c r="N353" s="2" t="s">
        <v>119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x14ac:dyDescent="0.25">
      <c r="A354" s="2" t="s">
        <v>4256</v>
      </c>
      <c r="B354" s="2" t="s">
        <v>4257</v>
      </c>
      <c r="C354" s="2" t="s">
        <v>4258</v>
      </c>
      <c r="D354" s="2" t="s">
        <v>8</v>
      </c>
      <c r="E354" s="2" t="s">
        <v>4259</v>
      </c>
      <c r="F354" s="2">
        <v>1014</v>
      </c>
      <c r="G354" s="2" t="s">
        <v>59</v>
      </c>
      <c r="H354" s="2" t="s">
        <v>897</v>
      </c>
      <c r="I354" s="2" t="s">
        <v>186</v>
      </c>
      <c r="J354" s="2" t="s">
        <v>4260</v>
      </c>
      <c r="K354" s="2" t="s">
        <v>186</v>
      </c>
      <c r="L354" s="2" t="s">
        <v>3009</v>
      </c>
      <c r="M354" s="2" t="s">
        <v>2706</v>
      </c>
      <c r="N354" s="2" t="s">
        <v>66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  <c r="Q354"/>
    </row>
    <row r="355" spans="1:17" customFormat="1" x14ac:dyDescent="0.25">
      <c r="A355" s="2" t="s">
        <v>4387</v>
      </c>
      <c r="B355" s="2" t="s">
        <v>4388</v>
      </c>
      <c r="C355" s="2" t="s">
        <v>4389</v>
      </c>
      <c r="D355" s="2" t="s">
        <v>8</v>
      </c>
      <c r="E355" s="2" t="s">
        <v>4390</v>
      </c>
      <c r="F355" s="2">
        <v>1034</v>
      </c>
      <c r="G355" s="2" t="s">
        <v>158</v>
      </c>
      <c r="H355" s="2" t="s">
        <v>1015</v>
      </c>
      <c r="I355" s="2" t="s">
        <v>1015</v>
      </c>
      <c r="J355" s="2" t="s">
        <v>2972</v>
      </c>
      <c r="K355" s="2" t="s">
        <v>1015</v>
      </c>
      <c r="L355" s="2" t="s">
        <v>3009</v>
      </c>
      <c r="M355" s="2" t="s">
        <v>2706</v>
      </c>
      <c r="N355" s="2" t="s">
        <v>163</v>
      </c>
      <c r="O355" s="2" t="str">
        <f>_xlfn.IFNA(+VLOOKUP(Maestro_Clientes[[#This Row],[Zona]],Tabla1[[#All],[Cruce Reportes]:[ENTREGA ]],2,0),Maestro_Clientes[[#This Row],[Zona]])</f>
        <v>EXPRESO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5088</v>
      </c>
      <c r="B356" s="2" t="s">
        <v>5086</v>
      </c>
      <c r="C356" s="2" t="s">
        <v>5087</v>
      </c>
      <c r="D356" s="2" t="s">
        <v>8</v>
      </c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 t="s">
        <v>3176</v>
      </c>
      <c r="P356" s="2" t="str">
        <f>+VLOOKUP(Maestro_Clientes[[#This Row],[Entrega]],Preparacion!A:B,2,0)</f>
        <v>Expreso</v>
      </c>
    </row>
    <row r="357" spans="1:17" customFormat="1" x14ac:dyDescent="0.25">
      <c r="A357" s="2" t="s">
        <v>1701</v>
      </c>
      <c r="B357" s="2" t="s">
        <v>1697</v>
      </c>
      <c r="C357" s="2" t="s">
        <v>1698</v>
      </c>
      <c r="D357" s="2" t="s">
        <v>8</v>
      </c>
      <c r="E357" s="2" t="s">
        <v>1699</v>
      </c>
      <c r="F357" s="2">
        <v>1001</v>
      </c>
      <c r="G357" s="2" t="s">
        <v>9</v>
      </c>
      <c r="H357" s="2" t="s">
        <v>1248</v>
      </c>
      <c r="I357" s="2" t="s">
        <v>1248</v>
      </c>
      <c r="J357" s="2" t="s">
        <v>2713</v>
      </c>
      <c r="K357" s="2" t="s">
        <v>12</v>
      </c>
      <c r="L357" s="2" t="s">
        <v>1700</v>
      </c>
      <c r="M357" s="2" t="s">
        <v>14</v>
      </c>
      <c r="N357" s="2" t="s">
        <v>15</v>
      </c>
      <c r="O357" s="2" t="s">
        <v>3023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353</v>
      </c>
      <c r="B358" s="2" t="s">
        <v>348</v>
      </c>
      <c r="C358" s="2" t="s">
        <v>349</v>
      </c>
      <c r="D358" s="2" t="s">
        <v>8</v>
      </c>
      <c r="E358" s="2" t="s">
        <v>351</v>
      </c>
      <c r="F358" s="2">
        <v>1001</v>
      </c>
      <c r="G358" s="2" t="s">
        <v>9</v>
      </c>
      <c r="H358" s="2" t="s">
        <v>350</v>
      </c>
      <c r="I358" s="2" t="s">
        <v>352</v>
      </c>
      <c r="J358" s="2" t="s">
        <v>2714</v>
      </c>
      <c r="K358" s="2" t="s">
        <v>12</v>
      </c>
      <c r="L358" s="2" t="s">
        <v>85</v>
      </c>
      <c r="M358" s="2" t="s">
        <v>14</v>
      </c>
      <c r="N358" s="2" t="s">
        <v>15</v>
      </c>
      <c r="O358" s="2" t="str">
        <f>_xlfn.IFNA(+VLOOKUP(Maestro_Clientes[[#This Row],[Zona]],Tabla1[[#All],[Cruce Reportes]:[ENTREGA ]],2,0),Maestro_Clientes[[#This Row],[Zona]])</f>
        <v>LUNES</v>
      </c>
      <c r="P358" s="2" t="str">
        <f>+VLOOKUP(Maestro_Clientes[[#This Row],[Entrega]],Preparacion!A:B,2,0)</f>
        <v>JUEVES</v>
      </c>
      <c r="Q358" s="2"/>
    </row>
    <row r="359" spans="1:17" customFormat="1" x14ac:dyDescent="0.25">
      <c r="A359" s="2" t="s">
        <v>1413</v>
      </c>
      <c r="B359" s="2" t="s">
        <v>1408</v>
      </c>
      <c r="C359" s="2" t="s">
        <v>1409</v>
      </c>
      <c r="D359" s="2" t="s">
        <v>8</v>
      </c>
      <c r="E359" s="2" t="s">
        <v>1411</v>
      </c>
      <c r="F359" s="2">
        <v>1002</v>
      </c>
      <c r="G359" s="2" t="s">
        <v>34</v>
      </c>
      <c r="H359" s="2" t="s">
        <v>1410</v>
      </c>
      <c r="I359" s="2" t="s">
        <v>1412</v>
      </c>
      <c r="J359" s="2" t="s">
        <v>2883</v>
      </c>
      <c r="K359" s="2" t="s">
        <v>1129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1755</v>
      </c>
      <c r="B360" s="2" t="s">
        <v>1752</v>
      </c>
      <c r="C360" s="2" t="s">
        <v>1753</v>
      </c>
      <c r="D360" s="2" t="s">
        <v>8</v>
      </c>
      <c r="E360" s="2" t="s">
        <v>1754</v>
      </c>
      <c r="F360" s="2">
        <v>1002</v>
      </c>
      <c r="G360" s="2" t="s">
        <v>34</v>
      </c>
      <c r="H360" s="2" t="s">
        <v>719</v>
      </c>
      <c r="I360" s="2" t="s">
        <v>719</v>
      </c>
      <c r="J360" s="2" t="s">
        <v>2804</v>
      </c>
      <c r="K360" s="2" t="s">
        <v>12</v>
      </c>
      <c r="L360" s="2" t="s">
        <v>3176</v>
      </c>
      <c r="M360" s="2" t="s">
        <v>39</v>
      </c>
      <c r="N360" s="2" t="s">
        <v>40</v>
      </c>
      <c r="O360" s="2" t="str">
        <f>_xlfn.IFNA(+VLOOKUP(Maestro_Clientes[[#This Row],[Zona]],Tabla1[[#All],[Cruce Reportes]:[ENTREGA ]],2,0),Maestro_Clientes[[#This Row],[Zona]])</f>
        <v>Expreso</v>
      </c>
      <c r="P360" s="2" t="str">
        <f>+VLOOKUP(Maestro_Clientes[[#This Row],[Entrega]],Preparacion!A:B,2,0)</f>
        <v>Expreso</v>
      </c>
    </row>
    <row r="361" spans="1:17" customFormat="1" x14ac:dyDescent="0.25">
      <c r="A361" s="2" t="s">
        <v>631</v>
      </c>
      <c r="B361" s="2" t="s">
        <v>625</v>
      </c>
      <c r="C361" s="2" t="s">
        <v>626</v>
      </c>
      <c r="D361" s="2" t="s">
        <v>8</v>
      </c>
      <c r="E361" s="2" t="s">
        <v>628</v>
      </c>
      <c r="F361" s="2">
        <v>1001</v>
      </c>
      <c r="G361" s="2" t="s">
        <v>9</v>
      </c>
      <c r="H361" s="2" t="s">
        <v>627</v>
      </c>
      <c r="I361" s="2" t="s">
        <v>629</v>
      </c>
      <c r="J361" s="2" t="s">
        <v>2774</v>
      </c>
      <c r="K361" s="2" t="s">
        <v>12</v>
      </c>
      <c r="L361" s="2" t="s">
        <v>630</v>
      </c>
      <c r="M361" s="2" t="s">
        <v>14</v>
      </c>
      <c r="N361" s="2" t="s">
        <v>15</v>
      </c>
      <c r="O361" s="2" t="s">
        <v>3125</v>
      </c>
      <c r="P361" s="2" t="str">
        <f>+VLOOKUP(Maestro_Clientes[[#This Row],[Entrega]],Preparacion!A:B,2,0)</f>
        <v>MARTES</v>
      </c>
    </row>
    <row r="362" spans="1:17" customFormat="1" x14ac:dyDescent="0.25">
      <c r="A362" s="2" t="s">
        <v>3985</v>
      </c>
      <c r="B362" s="2" t="s">
        <v>3986</v>
      </c>
      <c r="C362" s="2" t="s">
        <v>3987</v>
      </c>
      <c r="D362" s="2" t="s">
        <v>8</v>
      </c>
      <c r="E362" s="2" t="s">
        <v>3988</v>
      </c>
      <c r="F362" s="2">
        <v>1001</v>
      </c>
      <c r="G362" s="2" t="s">
        <v>9</v>
      </c>
      <c r="H362" s="2" t="s">
        <v>20</v>
      </c>
      <c r="I362" s="2" t="s">
        <v>20</v>
      </c>
      <c r="J362" s="2" t="s">
        <v>2703</v>
      </c>
      <c r="K362" s="2" t="s">
        <v>12</v>
      </c>
      <c r="L362" s="2" t="s">
        <v>20</v>
      </c>
      <c r="M362" s="2" t="s">
        <v>14</v>
      </c>
      <c r="N362" s="2" t="s">
        <v>15</v>
      </c>
      <c r="O362" s="2" t="str">
        <f>_xlfn.IFNA(+VLOOKUP(Maestro_Clientes[[#This Row],[Zona]],Tabla1[[#All],[Cruce Reportes]:[ENTREGA ]],2,0),Maestro_Clientes[[#This Row],[Zona]])</f>
        <v>MARTES</v>
      </c>
      <c r="P362" s="2" t="str">
        <f>+VLOOKUP(Maestro_Clientes[[#This Row],[Entrega]],Preparacion!A:B,2,0)</f>
        <v>VIERNES</v>
      </c>
    </row>
    <row r="363" spans="1:17" customFormat="1" x14ac:dyDescent="0.25">
      <c r="A363" s="2" t="s">
        <v>1051</v>
      </c>
      <c r="B363" s="2" t="s">
        <v>1046</v>
      </c>
      <c r="C363" s="2" t="s">
        <v>1047</v>
      </c>
      <c r="D363" s="2" t="s">
        <v>8</v>
      </c>
      <c r="E363" s="2" t="s">
        <v>1049</v>
      </c>
      <c r="F363" s="2">
        <v>1034</v>
      </c>
      <c r="G363" s="2" t="s">
        <v>158</v>
      </c>
      <c r="H363" s="2" t="s">
        <v>1048</v>
      </c>
      <c r="I363" s="2" t="s">
        <v>1050</v>
      </c>
      <c r="J363" s="2" t="s">
        <v>2843</v>
      </c>
      <c r="K363" s="2" t="s">
        <v>531</v>
      </c>
      <c r="L363" s="2" t="s">
        <v>3176</v>
      </c>
      <c r="M363" s="2" t="s">
        <v>2706</v>
      </c>
      <c r="N363" s="2" t="s">
        <v>163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1846</v>
      </c>
      <c r="B364" s="2" t="s">
        <v>1843</v>
      </c>
      <c r="C364" s="2" t="s">
        <v>1844</v>
      </c>
      <c r="D364" s="2" t="s">
        <v>8</v>
      </c>
      <c r="E364" s="2" t="s">
        <v>1845</v>
      </c>
      <c r="F364" s="2">
        <v>1025</v>
      </c>
      <c r="G364" s="2" t="s">
        <v>113</v>
      </c>
      <c r="H364" s="2" t="s">
        <v>229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118</v>
      </c>
      <c r="N364" s="2" t="s">
        <v>119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3638</v>
      </c>
      <c r="B365" s="2" t="s">
        <v>1843</v>
      </c>
      <c r="C365" s="2" t="s">
        <v>1844</v>
      </c>
      <c r="D365" s="2" t="s">
        <v>8</v>
      </c>
      <c r="E365" s="2" t="s">
        <v>3639</v>
      </c>
      <c r="F365" s="2">
        <v>1034</v>
      </c>
      <c r="G365" s="2" t="s">
        <v>158</v>
      </c>
      <c r="H365" s="2" t="s">
        <v>3640</v>
      </c>
      <c r="I365" s="2" t="s">
        <v>126</v>
      </c>
      <c r="J365" s="2" t="s">
        <v>2760</v>
      </c>
      <c r="K365" s="2" t="s">
        <v>126</v>
      </c>
      <c r="L365" s="2" t="s">
        <v>3176</v>
      </c>
      <c r="M365" s="2" t="s">
        <v>2706</v>
      </c>
      <c r="N365" s="2" t="s">
        <v>163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2595</v>
      </c>
      <c r="B366" s="2" t="s">
        <v>1843</v>
      </c>
      <c r="C366" s="2" t="s">
        <v>1844</v>
      </c>
      <c r="D366" s="2" t="s">
        <v>8</v>
      </c>
      <c r="E366" s="2" t="s">
        <v>2593</v>
      </c>
      <c r="F366" s="2">
        <v>1002</v>
      </c>
      <c r="G366" s="2" t="s">
        <v>34</v>
      </c>
      <c r="H366" s="2" t="s">
        <v>2592</v>
      </c>
      <c r="I366" s="2" t="s">
        <v>2594</v>
      </c>
      <c r="J366" s="2" t="s">
        <v>2760</v>
      </c>
      <c r="K366" s="2" t="s">
        <v>126</v>
      </c>
      <c r="L366" s="2" t="s">
        <v>3176</v>
      </c>
      <c r="M366" s="2" t="s">
        <v>39</v>
      </c>
      <c r="N366" s="2" t="s">
        <v>40</v>
      </c>
      <c r="O366" s="2" t="str">
        <f>_xlfn.IFNA(+VLOOKUP(Maestro_Clientes[[#This Row],[Zona]],Tabla1[[#All],[Cruce Reportes]:[ENTREGA ]],2,0),Maestro_Clientes[[#This Row],[Zona]])</f>
        <v>Expreso</v>
      </c>
      <c r="P366" s="2" t="str">
        <f>+VLOOKUP(Maestro_Clientes[[#This Row],[Entrega]],Preparacion!A:B,2,0)</f>
        <v>Expreso</v>
      </c>
    </row>
    <row r="367" spans="1:17" customFormat="1" x14ac:dyDescent="0.25">
      <c r="A367" s="2" t="s">
        <v>13</v>
      </c>
      <c r="B367" s="2" t="s">
        <v>6</v>
      </c>
      <c r="C367" s="2" t="s">
        <v>7</v>
      </c>
      <c r="D367" s="2" t="s">
        <v>8</v>
      </c>
      <c r="E367" s="2" t="s">
        <v>11</v>
      </c>
      <c r="F367" s="2">
        <v>1001</v>
      </c>
      <c r="G367" s="2" t="s">
        <v>9</v>
      </c>
      <c r="H367" s="2" t="s">
        <v>10</v>
      </c>
      <c r="I367" s="2" t="s">
        <v>10</v>
      </c>
      <c r="J367" s="2" t="s">
        <v>2701</v>
      </c>
      <c r="K367" s="2" t="s">
        <v>12</v>
      </c>
      <c r="L367" s="2" t="s">
        <v>10</v>
      </c>
      <c r="M367" s="2" t="s">
        <v>14</v>
      </c>
      <c r="N367" s="2" t="s">
        <v>15</v>
      </c>
      <c r="O367" s="2" t="str">
        <f>_xlfn.IFNA(+VLOOKUP(Maestro_Clientes[[#This Row],[Zona]],Tabla1[[#All],[Cruce Reportes]:[ENTREGA ]],2,0),Maestro_Clientes[[#This Row],[Zona]])</f>
        <v>MARTES</v>
      </c>
      <c r="P367" s="2" t="str">
        <f>+VLOOKUP(Maestro_Clientes[[#This Row],[Entrega]],Preparacion!A:B,2,0)</f>
        <v>VIERNES</v>
      </c>
    </row>
    <row r="368" spans="1:17" customFormat="1" x14ac:dyDescent="0.25">
      <c r="A368" s="2" t="s">
        <v>4401</v>
      </c>
      <c r="B368" s="2" t="s">
        <v>4402</v>
      </c>
      <c r="C368" s="2" t="s">
        <v>4403</v>
      </c>
      <c r="D368" s="2" t="s">
        <v>8</v>
      </c>
      <c r="E368" s="2" t="s">
        <v>4404</v>
      </c>
      <c r="F368" s="2">
        <v>1002</v>
      </c>
      <c r="G368" s="2" t="s">
        <v>34</v>
      </c>
      <c r="H368" s="2" t="s">
        <v>173</v>
      </c>
      <c r="I368" s="2" t="s">
        <v>4405</v>
      </c>
      <c r="J368" s="2" t="s">
        <v>4406</v>
      </c>
      <c r="K368" s="2" t="s">
        <v>126</v>
      </c>
      <c r="L368" s="2" t="s">
        <v>3009</v>
      </c>
      <c r="M368" s="2" t="s">
        <v>39</v>
      </c>
      <c r="N368" s="2" t="s">
        <v>40</v>
      </c>
      <c r="O368" s="2" t="str">
        <f>_xlfn.IFNA(+VLOOKUP(Maestro_Clientes[[#This Row],[Zona]],Tabla1[[#All],[Cruce Reportes]:[ENTREGA ]],2,0),Maestro_Clientes[[#This Row],[Zona]])</f>
        <v>EXPRESO</v>
      </c>
      <c r="P368" s="2" t="str">
        <f>+VLOOKUP(Maestro_Clientes[[#This Row],[Entrega]],Preparacion!A:B,2,0)</f>
        <v>Expreso</v>
      </c>
    </row>
    <row r="369" spans="1:17" customFormat="1" x14ac:dyDescent="0.25">
      <c r="A369" s="2" t="s">
        <v>3420</v>
      </c>
      <c r="B369" s="2" t="s">
        <v>3421</v>
      </c>
      <c r="C369" s="2" t="s">
        <v>3422</v>
      </c>
      <c r="D369" s="2" t="s">
        <v>8</v>
      </c>
      <c r="E369" s="2" t="s">
        <v>3423</v>
      </c>
      <c r="F369" s="2">
        <v>1034</v>
      </c>
      <c r="G369" s="2" t="s">
        <v>158</v>
      </c>
      <c r="H369" s="2" t="s">
        <v>3424</v>
      </c>
      <c r="I369" s="2" t="s">
        <v>63</v>
      </c>
      <c r="J369" s="2" t="s">
        <v>3425</v>
      </c>
      <c r="K369" s="2" t="s">
        <v>63</v>
      </c>
      <c r="L369" s="2" t="s">
        <v>3068</v>
      </c>
      <c r="M369" s="2" t="s">
        <v>2706</v>
      </c>
      <c r="N369" s="2" t="s">
        <v>163</v>
      </c>
      <c r="O369" s="2" t="s">
        <v>3116</v>
      </c>
      <c r="P369" s="2" t="str">
        <f>+VLOOKUP(Maestro_Clientes[[#This Row],[Entrega]],Preparacion!A:B,2,0)</f>
        <v>LUNES</v>
      </c>
    </row>
    <row r="370" spans="1:17" x14ac:dyDescent="0.25">
      <c r="A370" s="2" t="s">
        <v>5242</v>
      </c>
      <c r="B370" s="2" t="s">
        <v>1509</v>
      </c>
      <c r="C370" s="2" t="s">
        <v>1510</v>
      </c>
      <c r="D370" s="2" t="s">
        <v>8</v>
      </c>
      <c r="O370" s="2" t="s">
        <v>3068</v>
      </c>
      <c r="P370" s="2" t="str">
        <f>+VLOOKUP(Maestro_Clientes[[#This Row],[Entrega]],Preparacion!A:B,2,0)</f>
        <v>VIERNES</v>
      </c>
    </row>
    <row r="371" spans="1:17" x14ac:dyDescent="0.25">
      <c r="A371" s="2" t="s">
        <v>26</v>
      </c>
      <c r="B371" s="2" t="s">
        <v>22</v>
      </c>
      <c r="C371" s="2" t="s">
        <v>23</v>
      </c>
      <c r="D371" s="2" t="s">
        <v>24</v>
      </c>
      <c r="E371" s="2" t="s">
        <v>25</v>
      </c>
      <c r="F371" s="2">
        <v>1001</v>
      </c>
      <c r="G371" s="2" t="s">
        <v>9</v>
      </c>
      <c r="H371" s="2" t="s">
        <v>20</v>
      </c>
      <c r="I371" s="2" t="s">
        <v>20</v>
      </c>
      <c r="J371" s="2" t="s">
        <v>2703</v>
      </c>
      <c r="K371" s="2" t="s">
        <v>12</v>
      </c>
      <c r="L371" s="2" t="s">
        <v>20</v>
      </c>
      <c r="M371" s="2" t="s">
        <v>14</v>
      </c>
      <c r="N371" s="2" t="s">
        <v>15</v>
      </c>
      <c r="O371" s="2" t="str">
        <f>_xlfn.IFNA(+VLOOKUP(Maestro_Clientes[[#This Row],[Zona]],Tabla1[[#All],[Cruce Reportes]:[ENTREGA ]],2,0),Maestro_Clientes[[#This Row],[Zona]])</f>
        <v>MARTES</v>
      </c>
      <c r="P371" s="2" t="str">
        <f>+VLOOKUP(Maestro_Clientes[[#This Row],[Entrega]],Preparacion!A:B,2,0)</f>
        <v>VIERNES</v>
      </c>
      <c r="Q371"/>
    </row>
    <row r="372" spans="1:17" customFormat="1" x14ac:dyDescent="0.25">
      <c r="A372" s="2" t="s">
        <v>2442</v>
      </c>
      <c r="B372" s="2" t="s">
        <v>2438</v>
      </c>
      <c r="C372" s="2" t="s">
        <v>2439</v>
      </c>
      <c r="D372" s="2" t="s">
        <v>8</v>
      </c>
      <c r="E372" s="2" t="s">
        <v>2440</v>
      </c>
      <c r="F372" s="2">
        <v>1028</v>
      </c>
      <c r="G372" s="2" t="s">
        <v>81</v>
      </c>
      <c r="H372" s="2" t="s">
        <v>173</v>
      </c>
      <c r="I372" s="2" t="s">
        <v>2441</v>
      </c>
      <c r="J372" s="2" t="s">
        <v>2980</v>
      </c>
      <c r="K372" s="2" t="s">
        <v>220</v>
      </c>
      <c r="L372" s="2" t="s">
        <v>3176</v>
      </c>
      <c r="M372" s="2" t="s">
        <v>87</v>
      </c>
      <c r="N372" s="2" t="s">
        <v>88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customFormat="1" x14ac:dyDescent="0.25">
      <c r="A373" s="2" t="s">
        <v>1851</v>
      </c>
      <c r="B373" s="2" t="s">
        <v>1847</v>
      </c>
      <c r="C373" s="2" t="s">
        <v>1848</v>
      </c>
      <c r="D373" s="2" t="s">
        <v>8</v>
      </c>
      <c r="E373" s="2" t="s">
        <v>1850</v>
      </c>
      <c r="F373" s="2">
        <v>1014</v>
      </c>
      <c r="G373" s="2" t="s">
        <v>59</v>
      </c>
      <c r="H373" s="2" t="s">
        <v>1849</v>
      </c>
      <c r="I373" s="2" t="s">
        <v>4187</v>
      </c>
      <c r="J373" s="2" t="s">
        <v>2922</v>
      </c>
      <c r="K373" s="2" t="s">
        <v>1129</v>
      </c>
      <c r="L373" s="2" t="s">
        <v>3176</v>
      </c>
      <c r="M373" s="2" t="s">
        <v>2706</v>
      </c>
      <c r="N373" s="2" t="s">
        <v>66</v>
      </c>
      <c r="O373" s="2" t="str">
        <f>_xlfn.IFNA(+VLOOKUP(Maestro_Clientes[[#This Row],[Zona]],Tabla1[[#All],[Cruce Reportes]:[ENTREGA ]],2,0),Maestro_Clientes[[#This Row],[Zona]])</f>
        <v>Expreso</v>
      </c>
      <c r="P373" s="2" t="str">
        <f>+VLOOKUP(Maestro_Clientes[[#This Row],[Entrega]],Preparacion!A:B,2,0)</f>
        <v>Expreso</v>
      </c>
    </row>
    <row r="374" spans="1:17" x14ac:dyDescent="0.25">
      <c r="A374" s="2" t="s">
        <v>406</v>
      </c>
      <c r="B374" s="2" t="s">
        <v>402</v>
      </c>
      <c r="C374" s="2" t="s">
        <v>403</v>
      </c>
      <c r="D374" s="2" t="s">
        <v>8</v>
      </c>
      <c r="E374" s="2" t="s">
        <v>405</v>
      </c>
      <c r="F374" s="2">
        <v>1001</v>
      </c>
      <c r="G374" s="2" t="s">
        <v>9</v>
      </c>
      <c r="H374" s="2" t="s">
        <v>404</v>
      </c>
      <c r="I374" s="2" t="s">
        <v>404</v>
      </c>
      <c r="J374" s="2" t="s">
        <v>2765</v>
      </c>
      <c r="K374" s="2" t="s">
        <v>12</v>
      </c>
      <c r="L374" s="2" t="s">
        <v>3176</v>
      </c>
      <c r="M374" s="2" t="s">
        <v>14</v>
      </c>
      <c r="N374" s="2" t="s">
        <v>15</v>
      </c>
      <c r="O374" s="2" t="s">
        <v>3158</v>
      </c>
      <c r="P374" s="2" t="str">
        <f>+VLOOKUP(Maestro_Clientes[[#This Row],[Entrega]],Preparacion!A:B,2,0)</f>
        <v>MIERCOLES</v>
      </c>
      <c r="Q374"/>
    </row>
    <row r="375" spans="1:17" x14ac:dyDescent="0.25">
      <c r="A375" s="2" t="s">
        <v>2147</v>
      </c>
      <c r="B375" s="2" t="s">
        <v>2144</v>
      </c>
      <c r="C375" s="2" t="s">
        <v>2145</v>
      </c>
      <c r="D375" s="2" t="s">
        <v>8</v>
      </c>
      <c r="E375" s="2" t="s">
        <v>2146</v>
      </c>
      <c r="F375" s="2">
        <v>1002</v>
      </c>
      <c r="G375" s="2" t="s">
        <v>34</v>
      </c>
      <c r="H375" s="2" t="s">
        <v>60</v>
      </c>
      <c r="I375" s="2" t="s">
        <v>63</v>
      </c>
      <c r="J375" s="2" t="s">
        <v>2948</v>
      </c>
      <c r="K375" s="2" t="s">
        <v>63</v>
      </c>
      <c r="L375" s="2" t="s">
        <v>3068</v>
      </c>
      <c r="M375" s="2" t="s">
        <v>39</v>
      </c>
      <c r="N375" s="2" t="s">
        <v>40</v>
      </c>
      <c r="O375" s="2" t="s">
        <v>3116</v>
      </c>
      <c r="P375" s="2" t="str">
        <f>+VLOOKUP(Maestro_Clientes[[#This Row],[Entrega]],Preparacion!A:B,2,0)</f>
        <v>LUNES</v>
      </c>
      <c r="Q375"/>
    </row>
    <row r="376" spans="1:17" customFormat="1" x14ac:dyDescent="0.25">
      <c r="A376" s="2" t="s">
        <v>5014</v>
      </c>
      <c r="B376" s="2" t="s">
        <v>5013</v>
      </c>
      <c r="C376" s="2" t="s">
        <v>5015</v>
      </c>
      <c r="D376" s="2" t="s">
        <v>8</v>
      </c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 t="s">
        <v>3023</v>
      </c>
      <c r="P376" s="2" t="str">
        <f>+VLOOKUP(Maestro_Clientes[[#This Row],[Entrega]],Preparacion!A:B,2,0)</f>
        <v>JUEVES</v>
      </c>
      <c r="Q376" s="2"/>
    </row>
    <row r="377" spans="1:17" x14ac:dyDescent="0.25">
      <c r="A377" s="2" t="s">
        <v>176</v>
      </c>
      <c r="B377" s="2" t="s">
        <v>171</v>
      </c>
      <c r="C377" s="2" t="s">
        <v>172</v>
      </c>
      <c r="D377" s="2" t="s">
        <v>8</v>
      </c>
      <c r="E377" s="2" t="s">
        <v>174</v>
      </c>
      <c r="F377" s="2">
        <v>1014</v>
      </c>
      <c r="G377" s="2" t="s">
        <v>59</v>
      </c>
      <c r="H377" s="2" t="s">
        <v>173</v>
      </c>
      <c r="I377" s="2" t="s">
        <v>175</v>
      </c>
      <c r="J377" s="2" t="s">
        <v>2728</v>
      </c>
      <c r="K377" s="2" t="s">
        <v>147</v>
      </c>
      <c r="L377" s="2" t="s">
        <v>3176</v>
      </c>
      <c r="M377" s="2" t="s">
        <v>2706</v>
      </c>
      <c r="N377" s="2" t="s">
        <v>66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x14ac:dyDescent="0.25">
      <c r="A378" s="2" t="s">
        <v>696</v>
      </c>
      <c r="B378" s="2" t="s">
        <v>692</v>
      </c>
      <c r="C378" s="2" t="s">
        <v>693</v>
      </c>
      <c r="D378" s="2" t="s">
        <v>8</v>
      </c>
      <c r="E378" s="2" t="s">
        <v>694</v>
      </c>
      <c r="F378" s="2">
        <v>1002</v>
      </c>
      <c r="G378" s="2" t="s">
        <v>34</v>
      </c>
      <c r="H378" s="2" t="s">
        <v>144</v>
      </c>
      <c r="I378" s="2" t="s">
        <v>695</v>
      </c>
      <c r="J378" s="2" t="s">
        <v>2799</v>
      </c>
      <c r="K378" s="2" t="s">
        <v>147</v>
      </c>
      <c r="L378" s="2" t="s">
        <v>3176</v>
      </c>
      <c r="M378" s="2" t="s">
        <v>39</v>
      </c>
      <c r="N378" s="2" t="s">
        <v>40</v>
      </c>
      <c r="O378" s="2" t="str">
        <f>_xlfn.IFNA(+VLOOKUP(Maestro_Clientes[[#This Row],[Zona]],Tabla1[[#All],[Cruce Reportes]:[ENTREGA ]],2,0),Maestro_Clientes[[#This Row],[Zona]])</f>
        <v>Expreso</v>
      </c>
      <c r="P378" s="2" t="str">
        <f>+VLOOKUP(Maestro_Clientes[[#This Row],[Entrega]],Preparacion!A:B,2,0)</f>
        <v>Expreso</v>
      </c>
      <c r="Q378"/>
    </row>
    <row r="379" spans="1:17" customFormat="1" x14ac:dyDescent="0.25">
      <c r="A379" s="2" t="s">
        <v>5120</v>
      </c>
      <c r="B379" s="2" t="s">
        <v>4059</v>
      </c>
      <c r="C379" s="2" t="s">
        <v>4060</v>
      </c>
      <c r="D379" s="2" t="s">
        <v>8</v>
      </c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 t="s">
        <v>3023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4058</v>
      </c>
      <c r="B380" s="2" t="s">
        <v>4059</v>
      </c>
      <c r="C380" s="2" t="s">
        <v>4060</v>
      </c>
      <c r="D380" s="2" t="s">
        <v>8</v>
      </c>
      <c r="E380" s="2" t="s">
        <v>4061</v>
      </c>
      <c r="F380" s="2">
        <v>1034</v>
      </c>
      <c r="G380" s="2" t="s">
        <v>158</v>
      </c>
      <c r="H380" s="2" t="s">
        <v>85</v>
      </c>
      <c r="I380" s="2" t="s">
        <v>85</v>
      </c>
      <c r="J380" s="2" t="s">
        <v>2910</v>
      </c>
      <c r="K380" s="2" t="s">
        <v>12</v>
      </c>
      <c r="L380" s="2" t="s">
        <v>85</v>
      </c>
      <c r="M380" s="2" t="s">
        <v>2706</v>
      </c>
      <c r="N380" s="2" t="s">
        <v>163</v>
      </c>
      <c r="O380" s="2" t="str">
        <f>_xlfn.IFNA(+VLOOKUP(Maestro_Clientes[[#This Row],[Zona]],Tabla1[[#All],[Cruce Reportes]:[ENTREGA ]],2,0),Maestro_Clientes[[#This Row],[Zona]])</f>
        <v>LUNES</v>
      </c>
      <c r="P380" s="2" t="str">
        <f>+VLOOKUP(Maestro_Clientes[[#This Row],[Entrega]],Preparacion!A:B,2,0)</f>
        <v>JUEVES</v>
      </c>
      <c r="Q380" s="2"/>
    </row>
    <row r="381" spans="1:17" customFormat="1" x14ac:dyDescent="0.25">
      <c r="A381" s="2" t="s">
        <v>2522</v>
      </c>
      <c r="B381" s="2" t="s">
        <v>2518</v>
      </c>
      <c r="C381" s="2" t="s">
        <v>2519</v>
      </c>
      <c r="D381" s="2" t="s">
        <v>8</v>
      </c>
      <c r="E381" s="2" t="s">
        <v>2520</v>
      </c>
      <c r="F381" s="2">
        <v>0</v>
      </c>
      <c r="G381" s="2" t="s">
        <v>3176</v>
      </c>
      <c r="H381" s="2" t="s">
        <v>1782</v>
      </c>
      <c r="I381" s="2" t="s">
        <v>2521</v>
      </c>
      <c r="J381" s="2" t="s">
        <v>2988</v>
      </c>
      <c r="K381" s="2" t="s">
        <v>126</v>
      </c>
      <c r="L381" s="2" t="s">
        <v>3176</v>
      </c>
      <c r="M381" s="2" t="s">
        <v>2706</v>
      </c>
      <c r="N381" s="2" t="s">
        <v>2706</v>
      </c>
      <c r="O381" s="2" t="str">
        <f>_xlfn.IFNA(+VLOOKUP(Maestro_Clientes[[#This Row],[Zona]],Tabla1[[#All],[Cruce Reportes]:[ENTREGA ]],2,0),Maestro_Clientes[[#This Row],[Zona]])</f>
        <v>Expreso</v>
      </c>
      <c r="P381" s="2" t="str">
        <f>+VLOOKUP(Maestro_Clientes[[#This Row],[Entrega]],Preparacion!A:B,2,0)</f>
        <v>Expreso</v>
      </c>
    </row>
    <row r="382" spans="1:17" customFormat="1" x14ac:dyDescent="0.25">
      <c r="A382" s="2" t="s">
        <v>4986</v>
      </c>
      <c r="B382" s="2" t="s">
        <v>4985</v>
      </c>
      <c r="C382" s="2" t="s">
        <v>4987</v>
      </c>
      <c r="D382" s="2" t="s">
        <v>8</v>
      </c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 t="s">
        <v>3023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923</v>
      </c>
      <c r="B383" s="2" t="s">
        <v>919</v>
      </c>
      <c r="C383" s="2" t="s">
        <v>920</v>
      </c>
      <c r="D383" s="2" t="s">
        <v>8</v>
      </c>
      <c r="E383" s="2" t="s">
        <v>922</v>
      </c>
      <c r="F383" s="2">
        <v>1002</v>
      </c>
      <c r="G383" s="2" t="s">
        <v>34</v>
      </c>
      <c r="H383" s="2" t="s">
        <v>921</v>
      </c>
      <c r="I383" s="2" t="s">
        <v>921</v>
      </c>
      <c r="J383" s="2" t="s">
        <v>2713</v>
      </c>
      <c r="K383" s="2" t="s">
        <v>12</v>
      </c>
      <c r="L383" s="2" t="s">
        <v>85</v>
      </c>
      <c r="M383" s="2" t="s">
        <v>39</v>
      </c>
      <c r="N383" s="2" t="s">
        <v>40</v>
      </c>
      <c r="O383" s="2" t="str">
        <f>_xlfn.IFNA(+VLOOKUP(Maestro_Clientes[[#This Row],[Zona]],Tabla1[[#All],[Cruce Reportes]:[ENTREGA ]],2,0),Maestro_Clientes[[#This Row],[Zona]])</f>
        <v>LUNES</v>
      </c>
      <c r="P383" s="2" t="str">
        <f>+VLOOKUP(Maestro_Clientes[[#This Row],[Entrega]],Preparacion!A:B,2,0)</f>
        <v>JUEVES</v>
      </c>
      <c r="Q383" s="2"/>
    </row>
    <row r="384" spans="1:17" customFormat="1" x14ac:dyDescent="0.25">
      <c r="A384" s="2" t="s">
        <v>4419</v>
      </c>
      <c r="B384" s="2" t="s">
        <v>4420</v>
      </c>
      <c r="C384" s="2" t="s">
        <v>4421</v>
      </c>
      <c r="D384" s="2" t="s">
        <v>8</v>
      </c>
      <c r="E384" s="2" t="s">
        <v>4422</v>
      </c>
      <c r="F384" s="2">
        <v>1014</v>
      </c>
      <c r="G384" s="2" t="s">
        <v>59</v>
      </c>
      <c r="H384" s="2" t="s">
        <v>173</v>
      </c>
      <c r="I384" s="2" t="s">
        <v>63</v>
      </c>
      <c r="J384" s="2" t="s">
        <v>2982</v>
      </c>
      <c r="K384" s="2" t="s">
        <v>63</v>
      </c>
      <c r="L384" s="2" t="s">
        <v>3011</v>
      </c>
      <c r="M384" s="2" t="s">
        <v>2706</v>
      </c>
      <c r="N384" s="2" t="s">
        <v>66</v>
      </c>
      <c r="O384" s="2" t="str">
        <f>_xlfn.IFNA(+VLOOKUP(Maestro_Clientes[[#This Row],[Zona]],Tabla1[[#All],[Cruce Reportes]:[ENTREGA ]],2,0),Maestro_Clientes[[#This Row],[Zona]])</f>
        <v>DIARIA</v>
      </c>
      <c r="P384" s="2" t="str">
        <f>+VLOOKUP(Maestro_Clientes[[#This Row],[Entrega]],Preparacion!A:B,2,0)</f>
        <v>DIARIA</v>
      </c>
    </row>
    <row r="385" spans="1:17" customFormat="1" x14ac:dyDescent="0.25">
      <c r="A385" s="2" t="s">
        <v>1134</v>
      </c>
      <c r="B385" s="2" t="s">
        <v>1131</v>
      </c>
      <c r="C385" s="2" t="s">
        <v>1132</v>
      </c>
      <c r="D385" s="2" t="s">
        <v>8</v>
      </c>
      <c r="E385" s="2" t="s">
        <v>1133</v>
      </c>
      <c r="F385" s="2">
        <v>1034</v>
      </c>
      <c r="G385" s="2" t="s">
        <v>158</v>
      </c>
      <c r="H385" s="2" t="s">
        <v>301</v>
      </c>
      <c r="I385" s="2" t="s">
        <v>303</v>
      </c>
      <c r="J385" s="2" t="s">
        <v>2748</v>
      </c>
      <c r="K385" s="2" t="s">
        <v>281</v>
      </c>
      <c r="L385" s="2" t="s">
        <v>3176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4413</v>
      </c>
      <c r="B386" s="2" t="s">
        <v>4414</v>
      </c>
      <c r="C386" s="2" t="s">
        <v>4415</v>
      </c>
      <c r="D386" s="2" t="s">
        <v>8</v>
      </c>
      <c r="E386" s="2" t="s">
        <v>4416</v>
      </c>
      <c r="F386" s="2">
        <v>1034</v>
      </c>
      <c r="G386" s="2" t="s">
        <v>158</v>
      </c>
      <c r="H386" s="2" t="s">
        <v>4417</v>
      </c>
      <c r="I386" s="2" t="s">
        <v>4417</v>
      </c>
      <c r="J386" s="2" t="s">
        <v>4418</v>
      </c>
      <c r="K386" s="2" t="s">
        <v>126</v>
      </c>
      <c r="L386" s="2" t="s">
        <v>3009</v>
      </c>
      <c r="M386" s="2" t="s">
        <v>2706</v>
      </c>
      <c r="N386" s="2" t="s">
        <v>163</v>
      </c>
      <c r="O386" s="2" t="str">
        <f>_xlfn.IFNA(+VLOOKUP(Maestro_Clientes[[#This Row],[Zona]],Tabla1[[#All],[Cruce Reportes]:[ENTREGA ]],2,0),Maestro_Clientes[[#This Row],[Zona]])</f>
        <v>EXPRESO</v>
      </c>
      <c r="P386" s="2" t="str">
        <f>+VLOOKUP(Maestro_Clientes[[#This Row],[Entrega]],Preparacion!A:B,2,0)</f>
        <v>Expreso</v>
      </c>
    </row>
    <row r="387" spans="1:17" customFormat="1" x14ac:dyDescent="0.25">
      <c r="A387" s="2" t="s">
        <v>1422</v>
      </c>
      <c r="B387" s="2" t="s">
        <v>1418</v>
      </c>
      <c r="C387" s="2" t="s">
        <v>1419</v>
      </c>
      <c r="D387" s="2" t="s">
        <v>8</v>
      </c>
      <c r="E387" s="2" t="s">
        <v>1421</v>
      </c>
      <c r="F387" s="2">
        <v>1002</v>
      </c>
      <c r="G387" s="2" t="s">
        <v>34</v>
      </c>
      <c r="H387" s="2" t="s">
        <v>1420</v>
      </c>
      <c r="I387" s="2" t="s">
        <v>1420</v>
      </c>
      <c r="J387" s="2" t="s">
        <v>2884</v>
      </c>
      <c r="K387" s="2" t="s">
        <v>12</v>
      </c>
      <c r="L387" s="2" t="s">
        <v>251</v>
      </c>
      <c r="M387" s="2" t="s">
        <v>39</v>
      </c>
      <c r="N387" s="2" t="s">
        <v>40</v>
      </c>
      <c r="O387" s="2" t="s">
        <v>3158</v>
      </c>
      <c r="P387" s="2" t="str">
        <f>+VLOOKUP(Maestro_Clientes[[#This Row],[Entrega]],Preparacion!A:B,2,0)</f>
        <v>MIERCOLES</v>
      </c>
    </row>
    <row r="388" spans="1:17" x14ac:dyDescent="0.25">
      <c r="A388" s="2" t="s">
        <v>3641</v>
      </c>
      <c r="B388" s="2" t="s">
        <v>3642</v>
      </c>
      <c r="C388" s="2" t="s">
        <v>3643</v>
      </c>
      <c r="D388" s="2" t="s">
        <v>8</v>
      </c>
      <c r="E388" s="2" t="s">
        <v>3644</v>
      </c>
      <c r="F388" s="2">
        <v>1025</v>
      </c>
      <c r="G388" s="2" t="s">
        <v>113</v>
      </c>
      <c r="H388" s="2" t="s">
        <v>3645</v>
      </c>
      <c r="I388" s="2" t="s">
        <v>1735</v>
      </c>
      <c r="J388" s="2" t="s">
        <v>2913</v>
      </c>
      <c r="K388" s="2" t="s">
        <v>186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  <c r="Q388"/>
    </row>
    <row r="389" spans="1:17" customFormat="1" x14ac:dyDescent="0.25">
      <c r="A389" s="2" t="s">
        <v>2005</v>
      </c>
      <c r="B389" s="2" t="s">
        <v>2001</v>
      </c>
      <c r="C389" s="2" t="s">
        <v>2002</v>
      </c>
      <c r="D389" s="2" t="s">
        <v>8</v>
      </c>
      <c r="E389" s="2" t="s">
        <v>2004</v>
      </c>
      <c r="F389" s="2">
        <v>1025</v>
      </c>
      <c r="G389" s="2" t="s">
        <v>113</v>
      </c>
      <c r="H389" s="2" t="s">
        <v>2003</v>
      </c>
      <c r="I389" s="2" t="s">
        <v>329</v>
      </c>
      <c r="J389" s="2" t="s">
        <v>2725</v>
      </c>
      <c r="K389" s="2" t="s">
        <v>126</v>
      </c>
      <c r="L389" s="2" t="s">
        <v>3176</v>
      </c>
      <c r="M389" s="2" t="s">
        <v>118</v>
      </c>
      <c r="N389" s="2" t="s">
        <v>119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4423</v>
      </c>
      <c r="B390" s="2" t="s">
        <v>2001</v>
      </c>
      <c r="C390" s="2" t="s">
        <v>2002</v>
      </c>
      <c r="D390" s="2" t="s">
        <v>8</v>
      </c>
      <c r="E390" s="2" t="s">
        <v>4424</v>
      </c>
      <c r="F390" s="2">
        <v>1028</v>
      </c>
      <c r="G390" s="2" t="s">
        <v>81</v>
      </c>
      <c r="H390" s="2" t="s">
        <v>3861</v>
      </c>
      <c r="I390" s="2" t="s">
        <v>329</v>
      </c>
      <c r="J390" s="2" t="s">
        <v>2725</v>
      </c>
      <c r="K390" s="2" t="s">
        <v>126</v>
      </c>
      <c r="L390" s="2" t="s">
        <v>3009</v>
      </c>
      <c r="M390" s="2" t="s">
        <v>87</v>
      </c>
      <c r="N390" s="2" t="s">
        <v>88</v>
      </c>
      <c r="O390" s="2" t="str">
        <f>_xlfn.IFNA(+VLOOKUP(Maestro_Clientes[[#This Row],[Zona]],Tabla1[[#All],[Cruce Reportes]:[ENTREGA ]],2,0),Maestro_Clientes[[#This Row],[Zona]])</f>
        <v>EXPRESO</v>
      </c>
      <c r="P390" s="2" t="str">
        <f>+VLOOKUP(Maestro_Clientes[[#This Row],[Entrega]],Preparacion!A:B,2,0)</f>
        <v>Expreso</v>
      </c>
    </row>
    <row r="391" spans="1:17" customFormat="1" x14ac:dyDescent="0.25">
      <c r="A391" s="2" t="s">
        <v>4102</v>
      </c>
      <c r="B391" s="2" t="s">
        <v>4103</v>
      </c>
      <c r="C391" s="2" t="s">
        <v>4104</v>
      </c>
      <c r="D391" s="2" t="s">
        <v>24</v>
      </c>
      <c r="E391" s="2" t="s">
        <v>252</v>
      </c>
      <c r="F391" s="2">
        <v>0</v>
      </c>
      <c r="G391" s="2" t="s">
        <v>3176</v>
      </c>
      <c r="H391" s="2" t="s">
        <v>251</v>
      </c>
      <c r="I391" s="2" t="s">
        <v>251</v>
      </c>
      <c r="J391" s="2" t="s">
        <v>2742</v>
      </c>
      <c r="K391" s="2" t="s">
        <v>12</v>
      </c>
      <c r="L391" s="2" t="s">
        <v>3176</v>
      </c>
      <c r="M391" s="2" t="s">
        <v>2706</v>
      </c>
      <c r="N391" s="2" t="s">
        <v>2706</v>
      </c>
      <c r="O391" s="2" t="s">
        <v>3011</v>
      </c>
      <c r="P391" s="2" t="str">
        <f>+VLOOKUP(Maestro_Clientes[[#This Row],[Entrega]],Preparacion!A:B,2,0)</f>
        <v>DIARIA</v>
      </c>
    </row>
    <row r="392" spans="1:17" customFormat="1" x14ac:dyDescent="0.25">
      <c r="A392" s="2" t="s">
        <v>4962</v>
      </c>
      <c r="B392" s="2" t="s">
        <v>4941</v>
      </c>
      <c r="C392" s="2" t="s">
        <v>4976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3125</v>
      </c>
      <c r="P392" s="2" t="str">
        <f>+VLOOKUP(Maestro_Clientes[[#This Row],[Entrega]],Preparacion!A:B,2,0)</f>
        <v>MARTES</v>
      </c>
    </row>
    <row r="393" spans="1:17" customFormat="1" x14ac:dyDescent="0.25">
      <c r="A393" s="2" t="s">
        <v>4960</v>
      </c>
      <c r="B393" s="2" t="s">
        <v>4939</v>
      </c>
      <c r="C393" s="2" t="s">
        <v>4974</v>
      </c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 t="s">
        <v>3023</v>
      </c>
      <c r="P393" s="2" t="str">
        <f>+VLOOKUP(Maestro_Clientes[[#This Row],[Entrega]],Preparacion!A:B,2,0)</f>
        <v>JUEVES</v>
      </c>
      <c r="Q393" s="2"/>
    </row>
    <row r="394" spans="1:17" customFormat="1" x14ac:dyDescent="0.25">
      <c r="A394" s="2" t="s">
        <v>1759</v>
      </c>
      <c r="B394" s="2" t="s">
        <v>1756</v>
      </c>
      <c r="C394" s="2" t="s">
        <v>1757</v>
      </c>
      <c r="D394" s="2" t="s">
        <v>8</v>
      </c>
      <c r="E394" s="2" t="s">
        <v>1758</v>
      </c>
      <c r="F394" s="2">
        <v>1002</v>
      </c>
      <c r="G394" s="2" t="s">
        <v>34</v>
      </c>
      <c r="H394" s="2" t="s">
        <v>267</v>
      </c>
      <c r="I394" s="2" t="s">
        <v>237</v>
      </c>
      <c r="J394" s="2" t="s">
        <v>2738</v>
      </c>
      <c r="K394" s="2" t="s">
        <v>237</v>
      </c>
      <c r="L394" s="2" t="s">
        <v>3176</v>
      </c>
      <c r="M394" s="2" t="s">
        <v>39</v>
      </c>
      <c r="N394" s="2" t="s">
        <v>40</v>
      </c>
      <c r="O394" s="2" t="s">
        <v>3125</v>
      </c>
      <c r="P394" s="2" t="str">
        <f>+VLOOKUP(Maestro_Clientes[[#This Row],[Entrega]],Preparacion!A:B,2,0)</f>
        <v>MARTES</v>
      </c>
    </row>
    <row r="395" spans="1:17" customFormat="1" x14ac:dyDescent="0.25">
      <c r="A395" s="2" t="s">
        <v>662</v>
      </c>
      <c r="B395" s="2" t="s">
        <v>659</v>
      </c>
      <c r="C395" s="2" t="s">
        <v>660</v>
      </c>
      <c r="D395" s="2" t="s">
        <v>8</v>
      </c>
      <c r="E395" s="2" t="s">
        <v>661</v>
      </c>
      <c r="F395" s="2">
        <v>0</v>
      </c>
      <c r="G395" s="2" t="s">
        <v>3176</v>
      </c>
      <c r="H395" s="2" t="s">
        <v>195</v>
      </c>
      <c r="I395" s="2" t="s">
        <v>263</v>
      </c>
      <c r="J395" s="2" t="s">
        <v>2744</v>
      </c>
      <c r="K395" s="2" t="s">
        <v>197</v>
      </c>
      <c r="L395" s="2" t="s">
        <v>3176</v>
      </c>
      <c r="M395" s="2" t="s">
        <v>2706</v>
      </c>
      <c r="N395" s="2" t="s">
        <v>2706</v>
      </c>
      <c r="O395" s="2" t="str">
        <f>_xlfn.IFNA(+VLOOKUP(Maestro_Clientes[[#This Row],[Zona]],Tabla1[[#All],[Cruce Reportes]:[ENTREGA ]],2,0),Maestro_Clientes[[#This Row],[Zona]])</f>
        <v>Expreso</v>
      </c>
      <c r="P395" s="2" t="str">
        <f>+VLOOKUP(Maestro_Clientes[[#This Row],[Entrega]],Preparacion!A:B,2,0)</f>
        <v>Expreso</v>
      </c>
    </row>
    <row r="396" spans="1:17" x14ac:dyDescent="0.25">
      <c r="A396" s="2" t="s">
        <v>1986</v>
      </c>
      <c r="B396" s="2" t="s">
        <v>1983</v>
      </c>
      <c r="C396" s="2" t="s">
        <v>1984</v>
      </c>
      <c r="D396" s="2" t="s">
        <v>8</v>
      </c>
      <c r="E396" s="2" t="s">
        <v>1985</v>
      </c>
      <c r="F396" s="2">
        <v>1002</v>
      </c>
      <c r="G396" s="2" t="s">
        <v>34</v>
      </c>
      <c r="H396" s="2" t="s">
        <v>393</v>
      </c>
      <c r="I396" s="2" t="s">
        <v>393</v>
      </c>
      <c r="J396" s="2" t="s">
        <v>2763</v>
      </c>
      <c r="K396" s="2" t="s">
        <v>12</v>
      </c>
      <c r="L396" s="2" t="s">
        <v>394</v>
      </c>
      <c r="M396" s="2" t="s">
        <v>39</v>
      </c>
      <c r="N396" s="2" t="s">
        <v>40</v>
      </c>
      <c r="O396" s="2" t="s">
        <v>3125</v>
      </c>
      <c r="P396" s="2" t="str">
        <f>+VLOOKUP(Maestro_Clientes[[#This Row],[Entrega]],Preparacion!A:B,2,0)</f>
        <v>MARTES</v>
      </c>
      <c r="Q396"/>
    </row>
    <row r="397" spans="1:17" x14ac:dyDescent="0.25">
      <c r="A397" s="2" t="s">
        <v>927</v>
      </c>
      <c r="B397" s="2" t="s">
        <v>924</v>
      </c>
      <c r="C397" s="2" t="s">
        <v>925</v>
      </c>
      <c r="D397" s="2" t="s">
        <v>8</v>
      </c>
      <c r="E397" s="2" t="s">
        <v>926</v>
      </c>
      <c r="F397" s="2">
        <v>0</v>
      </c>
      <c r="G397" s="2" t="s">
        <v>3176</v>
      </c>
      <c r="H397" s="2" t="s">
        <v>60</v>
      </c>
      <c r="I397" s="2" t="s">
        <v>62</v>
      </c>
      <c r="J397" s="2" t="s">
        <v>2828</v>
      </c>
      <c r="K397" s="2" t="s">
        <v>63</v>
      </c>
      <c r="L397" s="2" t="s">
        <v>3068</v>
      </c>
      <c r="M397" s="2" t="s">
        <v>2706</v>
      </c>
      <c r="N397" s="2" t="s">
        <v>2706</v>
      </c>
      <c r="O397" s="2" t="s">
        <v>3116</v>
      </c>
      <c r="P397" s="2" t="str">
        <f>+VLOOKUP(Maestro_Clientes[[#This Row],[Entrega]],Preparacion!A:B,2,0)</f>
        <v>LUNES</v>
      </c>
      <c r="Q397"/>
    </row>
    <row r="398" spans="1:17" x14ac:dyDescent="0.25">
      <c r="A398" s="2" t="s">
        <v>4095</v>
      </c>
      <c r="B398" s="2" t="s">
        <v>4096</v>
      </c>
      <c r="C398" s="2" t="s">
        <v>4097</v>
      </c>
      <c r="D398" s="2" t="s">
        <v>8</v>
      </c>
      <c r="E398" s="2" t="s">
        <v>4098</v>
      </c>
      <c r="F398" s="2">
        <v>1034</v>
      </c>
      <c r="G398" s="2" t="s">
        <v>158</v>
      </c>
      <c r="H398" s="2" t="s">
        <v>4099</v>
      </c>
      <c r="I398" s="2" t="s">
        <v>4100</v>
      </c>
      <c r="J398" s="2" t="s">
        <v>4101</v>
      </c>
      <c r="K398" s="2" t="s">
        <v>12</v>
      </c>
      <c r="L398" s="2" t="s">
        <v>3176</v>
      </c>
      <c r="M398" s="2" t="s">
        <v>2706</v>
      </c>
      <c r="N398" s="2" t="s">
        <v>163</v>
      </c>
      <c r="O398" s="2" t="str">
        <f>_xlfn.IFNA(+VLOOKUP(Maestro_Clientes[[#This Row],[Zona]],Tabla1[[#All],[Cruce Reportes]:[ENTREGA ]],2,0),Maestro_Clientes[[#This Row],[Zona]])</f>
        <v>Expreso</v>
      </c>
      <c r="P398" s="2" t="str">
        <f>+VLOOKUP(Maestro_Clientes[[#This Row],[Entrega]],Preparacion!A:B,2,0)</f>
        <v>Expreso</v>
      </c>
      <c r="Q398"/>
    </row>
    <row r="399" spans="1:17" x14ac:dyDescent="0.25">
      <c r="A399" s="2" t="s">
        <v>4407</v>
      </c>
      <c r="B399" s="2" t="s">
        <v>4408</v>
      </c>
      <c r="C399" s="2" t="s">
        <v>4409</v>
      </c>
      <c r="D399" s="2" t="s">
        <v>8</v>
      </c>
      <c r="E399" s="2" t="s">
        <v>4410</v>
      </c>
      <c r="F399" s="2">
        <v>0</v>
      </c>
      <c r="G399" s="2" t="s">
        <v>3176</v>
      </c>
      <c r="H399" s="2" t="s">
        <v>616</v>
      </c>
      <c r="I399" s="2" t="s">
        <v>616</v>
      </c>
      <c r="J399" s="2" t="s">
        <v>2792</v>
      </c>
      <c r="K399" s="2" t="s">
        <v>12</v>
      </c>
      <c r="L399" s="2" t="s">
        <v>3125</v>
      </c>
      <c r="M399" s="2" t="s">
        <v>2706</v>
      </c>
      <c r="N399" s="2" t="s">
        <v>2706</v>
      </c>
      <c r="O399" s="2" t="s">
        <v>3158</v>
      </c>
      <c r="P399" s="2" t="str">
        <f>+VLOOKUP(Maestro_Clientes[[#This Row],[Entrega]],Preparacion!A:B,2,0)</f>
        <v>MIERCOLES</v>
      </c>
      <c r="Q399"/>
    </row>
    <row r="400" spans="1:17" customFormat="1" x14ac:dyDescent="0.25">
      <c r="A400" s="2" t="s">
        <v>2171</v>
      </c>
      <c r="B400" s="2" t="s">
        <v>2167</v>
      </c>
      <c r="C400" s="2" t="s">
        <v>2168</v>
      </c>
      <c r="D400" s="2" t="s">
        <v>8</v>
      </c>
      <c r="E400" s="2" t="s">
        <v>2169</v>
      </c>
      <c r="F400" s="2">
        <v>1014</v>
      </c>
      <c r="G400" s="2" t="s">
        <v>59</v>
      </c>
      <c r="H400" s="2" t="s">
        <v>179</v>
      </c>
      <c r="I400" s="2" t="s">
        <v>2170</v>
      </c>
      <c r="J400" s="2" t="s">
        <v>2952</v>
      </c>
      <c r="K400" s="2" t="s">
        <v>140</v>
      </c>
      <c r="L400" s="2" t="s">
        <v>3176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Expreso</v>
      </c>
      <c r="P400" s="2" t="str">
        <f>+VLOOKUP(Maestro_Clientes[[#This Row],[Entrega]],Preparacion!A:B,2,0)</f>
        <v>Expreso</v>
      </c>
    </row>
    <row r="401" spans="1:17" customFormat="1" x14ac:dyDescent="0.25">
      <c r="A401" s="2" t="s">
        <v>990</v>
      </c>
      <c r="B401" s="2" t="s">
        <v>987</v>
      </c>
      <c r="C401" s="2" t="s">
        <v>988</v>
      </c>
      <c r="D401" s="2" t="s">
        <v>8</v>
      </c>
      <c r="E401" s="2" t="s">
        <v>989</v>
      </c>
      <c r="F401" s="2">
        <v>1014</v>
      </c>
      <c r="G401" s="2" t="s">
        <v>59</v>
      </c>
      <c r="H401" s="2" t="s">
        <v>855</v>
      </c>
      <c r="I401" s="2" t="s">
        <v>855</v>
      </c>
      <c r="J401" s="2" t="s">
        <v>2820</v>
      </c>
      <c r="K401" s="2" t="s">
        <v>12</v>
      </c>
      <c r="L401" s="2" t="s">
        <v>346</v>
      </c>
      <c r="M401" s="2" t="s">
        <v>2706</v>
      </c>
      <c r="N401" s="2" t="s">
        <v>66</v>
      </c>
      <c r="O401" s="2" t="str">
        <f>_xlfn.IFNA(+VLOOKUP(Maestro_Clientes[[#This Row],[Zona]],Tabla1[[#All],[Cruce Reportes]:[ENTREGA ]],2,0),Maestro_Clientes[[#This Row],[Zona]])</f>
        <v>LUNES</v>
      </c>
      <c r="P401" s="2" t="str">
        <f>+VLOOKUP(Maestro_Clientes[[#This Row],[Entrega]],Preparacion!A:B,2,0)</f>
        <v>JUEVES</v>
      </c>
      <c r="Q401" s="2"/>
    </row>
    <row r="402" spans="1:17" customFormat="1" x14ac:dyDescent="0.25">
      <c r="A402" s="2" t="s">
        <v>2151</v>
      </c>
      <c r="B402" s="2" t="s">
        <v>2148</v>
      </c>
      <c r="C402" s="2" t="s">
        <v>2149</v>
      </c>
      <c r="D402" s="2" t="s">
        <v>8</v>
      </c>
      <c r="E402" s="2" t="s">
        <v>2150</v>
      </c>
      <c r="F402" s="2">
        <v>1002</v>
      </c>
      <c r="G402" s="2" t="s">
        <v>34</v>
      </c>
      <c r="H402" s="2" t="s">
        <v>60</v>
      </c>
      <c r="I402" s="2" t="s">
        <v>62</v>
      </c>
      <c r="J402" s="2" t="s">
        <v>2822</v>
      </c>
      <c r="K402" s="2" t="s">
        <v>63</v>
      </c>
      <c r="L402" s="2" t="s">
        <v>3068</v>
      </c>
      <c r="M402" s="2" t="s">
        <v>39</v>
      </c>
      <c r="N402" s="2" t="s">
        <v>40</v>
      </c>
      <c r="O402" s="2" t="s">
        <v>3116</v>
      </c>
      <c r="P402" s="2" t="str">
        <f>+VLOOKUP(Maestro_Clientes[[#This Row],[Entrega]],Preparacion!A:B,2,0)</f>
        <v>LUNES</v>
      </c>
    </row>
    <row r="403" spans="1:17" customFormat="1" x14ac:dyDescent="0.25">
      <c r="A403" s="2" t="s">
        <v>1705</v>
      </c>
      <c r="B403" s="2" t="s">
        <v>1702</v>
      </c>
      <c r="C403" s="2" t="s">
        <v>1703</v>
      </c>
      <c r="D403" s="2" t="s">
        <v>8</v>
      </c>
      <c r="E403" s="2" t="s">
        <v>1704</v>
      </c>
      <c r="F403" s="2">
        <v>1001</v>
      </c>
      <c r="G403" s="2" t="s">
        <v>9</v>
      </c>
      <c r="H403" s="2" t="s">
        <v>940</v>
      </c>
      <c r="I403" s="2" t="s">
        <v>940</v>
      </c>
      <c r="J403" s="2" t="s">
        <v>2908</v>
      </c>
      <c r="K403" s="2" t="s">
        <v>12</v>
      </c>
      <c r="L403" s="2" t="s">
        <v>3023</v>
      </c>
      <c r="M403" s="2" t="s">
        <v>14</v>
      </c>
      <c r="N403" s="2" t="s">
        <v>15</v>
      </c>
      <c r="O403" s="2" t="str">
        <f>_xlfn.IFNA(+VLOOKUP(Maestro_Clientes[[#This Row],[Zona]],Tabla1[[#All],[Cruce Reportes]:[ENTREGA ]],2,0),Maestro_Clientes[[#This Row],[Zona]])</f>
        <v>LUNES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4951</v>
      </c>
      <c r="B404" s="2" t="s">
        <v>1702</v>
      </c>
      <c r="C404" s="2" t="s">
        <v>1703</v>
      </c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 t="s">
        <v>3023</v>
      </c>
      <c r="P404" s="2" t="str">
        <f>+VLOOKUP(Maestro_Clientes[[#This Row],[Entrega]],Preparacion!A:B,2,0)</f>
        <v>JUEVES</v>
      </c>
      <c r="Q404" s="2"/>
    </row>
    <row r="405" spans="1:17" customFormat="1" x14ac:dyDescent="0.25">
      <c r="A405" s="2" t="s">
        <v>1282</v>
      </c>
      <c r="B405" s="2" t="s">
        <v>1278</v>
      </c>
      <c r="C405" s="2" t="s">
        <v>1279</v>
      </c>
      <c r="D405" s="2" t="s">
        <v>8</v>
      </c>
      <c r="E405" s="2" t="s">
        <v>1281</v>
      </c>
      <c r="F405" s="2">
        <v>1034</v>
      </c>
      <c r="G405" s="2" t="s">
        <v>158</v>
      </c>
      <c r="H405" s="2" t="s">
        <v>1280</v>
      </c>
      <c r="I405" s="2" t="s">
        <v>175</v>
      </c>
      <c r="J405" s="2" t="s">
        <v>2728</v>
      </c>
      <c r="K405" s="2" t="s">
        <v>147</v>
      </c>
      <c r="L405" s="2" t="s">
        <v>3176</v>
      </c>
      <c r="M405" s="2" t="s">
        <v>2706</v>
      </c>
      <c r="N405" s="2" t="s">
        <v>163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1857</v>
      </c>
      <c r="B406" s="2" t="s">
        <v>1852</v>
      </c>
      <c r="C406" s="2" t="s">
        <v>1853</v>
      </c>
      <c r="D406" s="2" t="s">
        <v>8</v>
      </c>
      <c r="E406" s="2" t="s">
        <v>1855</v>
      </c>
      <c r="F406" s="2">
        <v>1025</v>
      </c>
      <c r="G406" s="2" t="s">
        <v>113</v>
      </c>
      <c r="H406" s="2" t="s">
        <v>1854</v>
      </c>
      <c r="I406" s="2" t="s">
        <v>1856</v>
      </c>
      <c r="J406" s="2" t="s">
        <v>2923</v>
      </c>
      <c r="K406" s="2" t="s">
        <v>12</v>
      </c>
      <c r="L406" s="2" t="s">
        <v>3176</v>
      </c>
      <c r="M406" s="2" t="s">
        <v>118</v>
      </c>
      <c r="N406" s="2" t="s">
        <v>119</v>
      </c>
      <c r="O406" s="2" t="str">
        <f>_xlfn.IFNA(+VLOOKUP(Maestro_Clientes[[#This Row],[Zona]],Tabla1[[#All],[Cruce Reportes]:[ENTREGA ]],2,0),Maestro_Clientes[[#This Row],[Zona]])</f>
        <v>Expreso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5017</v>
      </c>
      <c r="B407" s="2" t="s">
        <v>5016</v>
      </c>
      <c r="C407" s="2" t="s">
        <v>5018</v>
      </c>
      <c r="D407" s="2" t="s">
        <v>8</v>
      </c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 t="s">
        <v>3176</v>
      </c>
      <c r="P407" s="2" t="str">
        <f>+VLOOKUP(Maestro_Clientes[[#This Row],[Entrega]],Preparacion!A:B,2,0)</f>
        <v>Expreso</v>
      </c>
    </row>
    <row r="408" spans="1:17" customFormat="1" x14ac:dyDescent="0.25">
      <c r="A408" s="2" t="s">
        <v>4435</v>
      </c>
      <c r="B408" s="2" t="s">
        <v>4436</v>
      </c>
      <c r="C408" s="2" t="s">
        <v>4437</v>
      </c>
      <c r="D408" s="2" t="s">
        <v>8</v>
      </c>
      <c r="E408" s="2" t="s">
        <v>4438</v>
      </c>
      <c r="F408" s="2">
        <v>1002</v>
      </c>
      <c r="G408" s="2" t="s">
        <v>34</v>
      </c>
      <c r="H408" s="2" t="s">
        <v>60</v>
      </c>
      <c r="I408" s="2" t="s">
        <v>4439</v>
      </c>
      <c r="J408" s="2" t="s">
        <v>2719</v>
      </c>
      <c r="K408" s="2" t="s">
        <v>63</v>
      </c>
      <c r="L408" s="2" t="s">
        <v>3068</v>
      </c>
      <c r="M408" s="2" t="s">
        <v>39</v>
      </c>
      <c r="N408" s="2" t="s">
        <v>40</v>
      </c>
      <c r="O408" s="2" t="s">
        <v>3116</v>
      </c>
      <c r="P408" s="2" t="str">
        <f>+VLOOKUP(Maestro_Clientes[[#This Row],[Entrega]],Preparacion!A:B,2,0)</f>
        <v>LUNES</v>
      </c>
    </row>
    <row r="409" spans="1:17" customFormat="1" x14ac:dyDescent="0.25">
      <c r="A409" s="2" t="s">
        <v>1240</v>
      </c>
      <c r="B409" s="2" t="s">
        <v>1237</v>
      </c>
      <c r="C409" s="2" t="s">
        <v>1238</v>
      </c>
      <c r="D409" s="2" t="s">
        <v>8</v>
      </c>
      <c r="E409" s="2" t="s">
        <v>1239</v>
      </c>
      <c r="F409" s="2">
        <v>1034</v>
      </c>
      <c r="G409" s="2" t="s">
        <v>158</v>
      </c>
      <c r="H409" s="2" t="s">
        <v>173</v>
      </c>
      <c r="I409" s="2" t="s">
        <v>140</v>
      </c>
      <c r="J409" s="2" t="s">
        <v>2722</v>
      </c>
      <c r="K409" s="2" t="s">
        <v>140</v>
      </c>
      <c r="L409" s="2" t="s">
        <v>3176</v>
      </c>
      <c r="M409" s="2" t="s">
        <v>2706</v>
      </c>
      <c r="N409" s="2" t="s">
        <v>163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4105</v>
      </c>
      <c r="B410" s="2" t="s">
        <v>4106</v>
      </c>
      <c r="C410" s="2" t="s">
        <v>4107</v>
      </c>
      <c r="D410" s="2" t="s">
        <v>8</v>
      </c>
      <c r="E410" s="2" t="s">
        <v>4108</v>
      </c>
      <c r="F410" s="2">
        <v>1028</v>
      </c>
      <c r="G410" s="2" t="s">
        <v>81</v>
      </c>
      <c r="H410" s="2" t="s">
        <v>207</v>
      </c>
      <c r="I410" s="2" t="s">
        <v>765</v>
      </c>
      <c r="J410" s="2" t="s">
        <v>2733</v>
      </c>
      <c r="K410" s="2" t="s">
        <v>12</v>
      </c>
      <c r="L410" s="2" t="s">
        <v>3176</v>
      </c>
      <c r="M410" s="2" t="s">
        <v>87</v>
      </c>
      <c r="N410" s="2" t="s">
        <v>88</v>
      </c>
      <c r="O410" s="2" t="str">
        <f>_xlfn.IFNA(+VLOOKUP(Maestro_Clientes[[#This Row],[Zona]],Tabla1[[#All],[Cruce Reportes]:[ENTREGA ]],2,0),Maestro_Clientes[[#This Row],[Zona]])</f>
        <v>Expreso</v>
      </c>
      <c r="P410" s="2" t="str">
        <f>+VLOOKUP(Maestro_Clientes[[#This Row],[Entrega]],Preparacion!A:B,2,0)</f>
        <v>Expreso</v>
      </c>
    </row>
    <row r="411" spans="1:17" customFormat="1" x14ac:dyDescent="0.25">
      <c r="A411" s="2" t="s">
        <v>976</v>
      </c>
      <c r="B411" s="2" t="s">
        <v>973</v>
      </c>
      <c r="C411" s="2" t="s">
        <v>974</v>
      </c>
      <c r="D411" s="2" t="s">
        <v>8</v>
      </c>
      <c r="E411" s="2" t="s">
        <v>975</v>
      </c>
      <c r="F411" s="2">
        <v>0</v>
      </c>
      <c r="G411" s="2" t="s">
        <v>3176</v>
      </c>
      <c r="H411" s="2" t="s">
        <v>60</v>
      </c>
      <c r="I411" s="2" t="s">
        <v>62</v>
      </c>
      <c r="J411" s="2" t="s">
        <v>2710</v>
      </c>
      <c r="K411" s="2" t="s">
        <v>63</v>
      </c>
      <c r="L411" s="2" t="s">
        <v>3068</v>
      </c>
      <c r="M411" s="2" t="s">
        <v>2706</v>
      </c>
      <c r="N411" s="2" t="s">
        <v>2706</v>
      </c>
      <c r="O411" s="2" t="s">
        <v>3116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56</v>
      </c>
      <c r="B412" s="2" t="s">
        <v>52</v>
      </c>
      <c r="C412" s="2" t="s">
        <v>53</v>
      </c>
      <c r="D412" s="2" t="s">
        <v>8</v>
      </c>
      <c r="E412" s="2" t="s">
        <v>55</v>
      </c>
      <c r="F412" s="2">
        <v>1001</v>
      </c>
      <c r="G412" s="2" t="s">
        <v>9</v>
      </c>
      <c r="H412" s="2" t="s">
        <v>54</v>
      </c>
      <c r="I412" s="2" t="s">
        <v>54</v>
      </c>
      <c r="J412" s="2" t="s">
        <v>2709</v>
      </c>
      <c r="K412" s="2" t="s">
        <v>12</v>
      </c>
      <c r="L412" s="2" t="s">
        <v>54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4050</v>
      </c>
      <c r="B413" s="2" t="s">
        <v>52</v>
      </c>
      <c r="C413" s="2" t="s">
        <v>53</v>
      </c>
      <c r="D413" s="2" t="s">
        <v>8</v>
      </c>
      <c r="E413" s="2" t="s">
        <v>4051</v>
      </c>
      <c r="F413" s="2">
        <v>1001</v>
      </c>
      <c r="G413" s="2" t="s">
        <v>9</v>
      </c>
      <c r="H413" s="2" t="s">
        <v>329</v>
      </c>
      <c r="I413" s="2" t="s">
        <v>329</v>
      </c>
      <c r="J413" s="2" t="s">
        <v>2754</v>
      </c>
      <c r="K413" s="2" t="s">
        <v>12</v>
      </c>
      <c r="L413" s="2" t="s">
        <v>329</v>
      </c>
      <c r="M413" s="2" t="s">
        <v>14</v>
      </c>
      <c r="N413" s="2" t="s">
        <v>15</v>
      </c>
      <c r="O413" s="2" t="str">
        <f>_xlfn.IFNA(+VLOOKUP(Maestro_Clientes[[#This Row],[Zona]],Tabla1[[#All],[Cruce Reportes]:[ENTREGA ]],2,0),Maestro_Clientes[[#This Row],[Zona]])</f>
        <v>MIERCOLES</v>
      </c>
      <c r="P413" s="2" t="str">
        <f>+VLOOKUP(Maestro_Clientes[[#This Row],[Entrega]],Preparacion!A:B,2,0)</f>
        <v>LUNES</v>
      </c>
    </row>
    <row r="414" spans="1:17" customFormat="1" x14ac:dyDescent="0.25">
      <c r="A414" s="2" t="s">
        <v>3646</v>
      </c>
      <c r="B414" s="2" t="s">
        <v>3647</v>
      </c>
      <c r="C414" s="2" t="s">
        <v>3648</v>
      </c>
      <c r="D414" s="2" t="s">
        <v>8</v>
      </c>
      <c r="E414" s="2" t="s">
        <v>3649</v>
      </c>
      <c r="F414" s="2">
        <v>1028</v>
      </c>
      <c r="G414" s="2" t="s">
        <v>81</v>
      </c>
      <c r="H414" s="2" t="s">
        <v>3650</v>
      </c>
      <c r="I414" s="2" t="s">
        <v>3651</v>
      </c>
      <c r="J414" s="2" t="s">
        <v>3652</v>
      </c>
      <c r="K414" s="2" t="s">
        <v>753</v>
      </c>
      <c r="L414" s="2" t="s">
        <v>3176</v>
      </c>
      <c r="M414" s="2" t="s">
        <v>87</v>
      </c>
      <c r="N414" s="2" t="s">
        <v>88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1439</v>
      </c>
      <c r="B415" s="2" t="s">
        <v>1435</v>
      </c>
      <c r="C415" s="2" t="s">
        <v>1436</v>
      </c>
      <c r="D415" s="2" t="s">
        <v>8</v>
      </c>
      <c r="E415" s="2" t="s">
        <v>1438</v>
      </c>
      <c r="F415" s="2">
        <v>1002</v>
      </c>
      <c r="G415" s="2" t="s">
        <v>34</v>
      </c>
      <c r="H415" s="2" t="s">
        <v>1437</v>
      </c>
      <c r="I415" s="2" t="s">
        <v>1307</v>
      </c>
      <c r="J415" s="2" t="s">
        <v>2868</v>
      </c>
      <c r="K415" s="2" t="s">
        <v>1307</v>
      </c>
      <c r="L415" s="2" t="s">
        <v>3176</v>
      </c>
      <c r="M415" s="2" t="s">
        <v>39</v>
      </c>
      <c r="N415" s="2" t="s">
        <v>40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4425</v>
      </c>
      <c r="B416" s="2" t="s">
        <v>4426</v>
      </c>
      <c r="C416" s="2" t="s">
        <v>4427</v>
      </c>
      <c r="D416" s="2" t="s">
        <v>8</v>
      </c>
      <c r="E416" s="2" t="s">
        <v>4428</v>
      </c>
      <c r="F416" s="2">
        <v>1025</v>
      </c>
      <c r="G416" s="2" t="s">
        <v>113</v>
      </c>
      <c r="H416" s="2" t="s">
        <v>4429</v>
      </c>
      <c r="I416" s="2" t="s">
        <v>4429</v>
      </c>
      <c r="J416" s="2" t="s">
        <v>4430</v>
      </c>
      <c r="K416" s="2" t="s">
        <v>12</v>
      </c>
      <c r="L416" s="2" t="s">
        <v>3009</v>
      </c>
      <c r="M416" s="2" t="s">
        <v>118</v>
      </c>
      <c r="N416" s="2" t="s">
        <v>119</v>
      </c>
      <c r="O416" s="2" t="str">
        <f>_xlfn.IFNA(+VLOOKUP(Maestro_Clientes[[#This Row],[Zona]],Tabla1[[#All],[Cruce Reportes]:[ENTREGA ]],2,0),Maestro_Clientes[[#This Row],[Zona]])</f>
        <v>EXPRESO</v>
      </c>
      <c r="P416" s="2" t="str">
        <f>+VLOOKUP(Maestro_Clientes[[#This Row],[Entrega]],Preparacion!A:B,2,0)</f>
        <v>Expreso</v>
      </c>
    </row>
    <row r="417" spans="1:17" customFormat="1" x14ac:dyDescent="0.25">
      <c r="A417" s="2" t="s">
        <v>31</v>
      </c>
      <c r="B417" s="2" t="s">
        <v>27</v>
      </c>
      <c r="C417" s="2" t="s">
        <v>28</v>
      </c>
      <c r="D417" s="2" t="s">
        <v>8</v>
      </c>
      <c r="E417" s="2" t="s">
        <v>30</v>
      </c>
      <c r="F417" s="2">
        <v>1001</v>
      </c>
      <c r="G417" s="2" t="s">
        <v>9</v>
      </c>
      <c r="H417" s="2" t="s">
        <v>29</v>
      </c>
      <c r="I417" s="2" t="s">
        <v>29</v>
      </c>
      <c r="J417" s="2" t="s">
        <v>2704</v>
      </c>
      <c r="K417" s="2" t="s">
        <v>12</v>
      </c>
      <c r="L417" s="2" t="s">
        <v>10</v>
      </c>
      <c r="M417" s="2" t="s">
        <v>14</v>
      </c>
      <c r="N417" s="2" t="s">
        <v>15</v>
      </c>
      <c r="O417" s="2" t="str">
        <f>_xlfn.IFNA(+VLOOKUP(Maestro_Clientes[[#This Row],[Zona]],Tabla1[[#All],[Cruce Reportes]:[ENTREGA ]],2,0),Maestro_Clientes[[#This Row],[Zona]])</f>
        <v>MARTES</v>
      </c>
      <c r="P417" s="2" t="str">
        <f>+VLOOKUP(Maestro_Clientes[[#This Row],[Entrega]],Preparacion!A:B,2,0)</f>
        <v>VIERNES</v>
      </c>
    </row>
    <row r="418" spans="1:17" customFormat="1" x14ac:dyDescent="0.25">
      <c r="A418" s="2" t="s">
        <v>4431</v>
      </c>
      <c r="B418" s="2" t="s">
        <v>4432</v>
      </c>
      <c r="C418" s="2" t="s">
        <v>4433</v>
      </c>
      <c r="D418" s="2" t="s">
        <v>8</v>
      </c>
      <c r="E418" s="2" t="s">
        <v>4434</v>
      </c>
      <c r="F418" s="2">
        <v>1028</v>
      </c>
      <c r="G418" s="2" t="s">
        <v>81</v>
      </c>
      <c r="H418" s="2" t="s">
        <v>2463</v>
      </c>
      <c r="I418" s="2" t="s">
        <v>1575</v>
      </c>
      <c r="J418" s="2" t="s">
        <v>2896</v>
      </c>
      <c r="K418" s="2" t="s">
        <v>12</v>
      </c>
      <c r="L418" s="2" t="s">
        <v>3009</v>
      </c>
      <c r="M418" s="2" t="s">
        <v>87</v>
      </c>
      <c r="N418" s="2" t="s">
        <v>88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4109</v>
      </c>
      <c r="B419" s="2" t="s">
        <v>4110</v>
      </c>
      <c r="C419" s="2" t="s">
        <v>4111</v>
      </c>
      <c r="D419" s="2" t="s">
        <v>8</v>
      </c>
      <c r="E419" s="2" t="s">
        <v>4112</v>
      </c>
      <c r="F419" s="2">
        <v>1025</v>
      </c>
      <c r="G419" s="2" t="s">
        <v>113</v>
      </c>
      <c r="H419" s="2" t="s">
        <v>4113</v>
      </c>
      <c r="I419" s="2" t="s">
        <v>209</v>
      </c>
      <c r="J419" s="2" t="s">
        <v>2733</v>
      </c>
      <c r="K419" s="2" t="s">
        <v>12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customFormat="1" x14ac:dyDescent="0.25">
      <c r="A420" s="2" t="s">
        <v>2585</v>
      </c>
      <c r="B420" s="2" t="s">
        <v>2581</v>
      </c>
      <c r="C420" s="2" t="s">
        <v>2582</v>
      </c>
      <c r="D420" s="2" t="s">
        <v>8</v>
      </c>
      <c r="E420" s="2" t="s">
        <v>2583</v>
      </c>
      <c r="F420" s="2">
        <v>1025</v>
      </c>
      <c r="G420" s="2" t="s">
        <v>113</v>
      </c>
      <c r="H420" s="2" t="s">
        <v>179</v>
      </c>
      <c r="I420" s="2" t="s">
        <v>2584</v>
      </c>
      <c r="J420" s="2" t="s">
        <v>2996</v>
      </c>
      <c r="K420" s="2" t="s">
        <v>140</v>
      </c>
      <c r="L420" s="2" t="s">
        <v>3176</v>
      </c>
      <c r="M420" s="2" t="s">
        <v>118</v>
      </c>
      <c r="N420" s="2" t="s">
        <v>119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</row>
    <row r="421" spans="1:17" x14ac:dyDescent="0.25">
      <c r="A421" s="2" t="s">
        <v>1862</v>
      </c>
      <c r="B421" s="2" t="s">
        <v>1858</v>
      </c>
      <c r="C421" s="2" t="s">
        <v>1859</v>
      </c>
      <c r="D421" s="2" t="s">
        <v>8</v>
      </c>
      <c r="E421" s="2" t="s">
        <v>1861</v>
      </c>
      <c r="F421" s="2">
        <v>1014</v>
      </c>
      <c r="G421" s="2" t="s">
        <v>59</v>
      </c>
      <c r="H421" s="2" t="s">
        <v>1860</v>
      </c>
      <c r="I421" s="2" t="s">
        <v>274</v>
      </c>
      <c r="J421" s="2" t="s">
        <v>2745</v>
      </c>
      <c r="K421" s="2" t="s">
        <v>12</v>
      </c>
      <c r="L421" s="2" t="s">
        <v>3176</v>
      </c>
      <c r="M421" s="2" t="s">
        <v>2706</v>
      </c>
      <c r="N421" s="2" t="s">
        <v>66</v>
      </c>
      <c r="O421" s="2" t="str">
        <f>_xlfn.IFNA(+VLOOKUP(Maestro_Clientes[[#This Row],[Zona]],Tabla1[[#All],[Cruce Reportes]:[ENTREGA ]],2,0),Maestro_Clientes[[#This Row],[Zona]])</f>
        <v>Expreso</v>
      </c>
      <c r="P421" s="2" t="str">
        <f>+VLOOKUP(Maestro_Clientes[[#This Row],[Entrega]],Preparacion!A:B,2,0)</f>
        <v>Expreso</v>
      </c>
      <c r="Q421"/>
    </row>
    <row r="422" spans="1:17" x14ac:dyDescent="0.25">
      <c r="A422" s="2" t="s">
        <v>5435</v>
      </c>
      <c r="B422" s="2" t="s">
        <v>2130</v>
      </c>
      <c r="C422" s="2" t="s">
        <v>2131</v>
      </c>
      <c r="D422" s="2" t="s">
        <v>8</v>
      </c>
      <c r="O422" s="2" t="s">
        <v>3176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2134</v>
      </c>
      <c r="B423" s="2" t="s">
        <v>2130</v>
      </c>
      <c r="C423" s="2" t="s">
        <v>2131</v>
      </c>
      <c r="D423" s="2" t="s">
        <v>8</v>
      </c>
      <c r="E423" s="2" t="s">
        <v>2133</v>
      </c>
      <c r="F423" s="2">
        <v>1014</v>
      </c>
      <c r="G423" s="2" t="s">
        <v>59</v>
      </c>
      <c r="H423" s="2" t="s">
        <v>2132</v>
      </c>
      <c r="I423" s="2" t="s">
        <v>517</v>
      </c>
      <c r="J423" s="2" t="s">
        <v>2777</v>
      </c>
      <c r="K423" s="2" t="s">
        <v>518</v>
      </c>
      <c r="L423" s="2" t="s">
        <v>3176</v>
      </c>
      <c r="M423" s="2" t="s">
        <v>2706</v>
      </c>
      <c r="N423" s="2" t="s">
        <v>66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2284</v>
      </c>
      <c r="B424" s="2" t="s">
        <v>1444</v>
      </c>
      <c r="C424" s="2" t="s">
        <v>1445</v>
      </c>
      <c r="D424" s="2" t="s">
        <v>8</v>
      </c>
      <c r="E424" s="2" t="s">
        <v>2282</v>
      </c>
      <c r="F424" s="2">
        <v>0</v>
      </c>
      <c r="G424" s="2" t="s">
        <v>3176</v>
      </c>
      <c r="H424" s="2" t="s">
        <v>2706</v>
      </c>
      <c r="I424" s="2" t="s">
        <v>2283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2706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1449</v>
      </c>
      <c r="B425" s="2" t="s">
        <v>1444</v>
      </c>
      <c r="C425" s="2" t="s">
        <v>1445</v>
      </c>
      <c r="D425" s="2" t="s">
        <v>8</v>
      </c>
      <c r="E425" s="2" t="s">
        <v>1447</v>
      </c>
      <c r="F425" s="2">
        <v>1014</v>
      </c>
      <c r="G425" s="2" t="s">
        <v>59</v>
      </c>
      <c r="H425" s="2" t="s">
        <v>1446</v>
      </c>
      <c r="I425" s="2" t="s">
        <v>1448</v>
      </c>
      <c r="J425" s="2" t="s">
        <v>2735</v>
      </c>
      <c r="K425" s="2" t="s">
        <v>220</v>
      </c>
      <c r="L425" s="2" t="s">
        <v>3176</v>
      </c>
      <c r="M425" s="2" t="s">
        <v>2706</v>
      </c>
      <c r="N425" s="2" t="s">
        <v>66</v>
      </c>
      <c r="O425" s="2" t="str">
        <f>_xlfn.IFNA(+VLOOKUP(Maestro_Clientes[[#This Row],[Zona]],Tabla1[[#All],[Cruce Reportes]:[ENTREGA ]],2,0),Maestro_Clientes[[#This Row],[Zona]])</f>
        <v>Expreso</v>
      </c>
      <c r="P425" s="2" t="str">
        <f>+VLOOKUP(Maestro_Clientes[[#This Row],[Entrega]],Preparacion!A:B,2,0)</f>
        <v>Expreso</v>
      </c>
    </row>
    <row r="426" spans="1:17" customFormat="1" x14ac:dyDescent="0.25">
      <c r="A426" s="2" t="s">
        <v>1204</v>
      </c>
      <c r="B426" s="2" t="s">
        <v>1201</v>
      </c>
      <c r="C426" s="2" t="s">
        <v>1202</v>
      </c>
      <c r="D426" s="2" t="s">
        <v>8</v>
      </c>
      <c r="E426" s="2" t="s">
        <v>1203</v>
      </c>
      <c r="F426" s="2">
        <v>1002</v>
      </c>
      <c r="G426" s="2" t="s">
        <v>34</v>
      </c>
      <c r="H426" s="2" t="s">
        <v>60</v>
      </c>
      <c r="I426" s="2" t="s">
        <v>62</v>
      </c>
      <c r="J426" s="2" t="s">
        <v>2828</v>
      </c>
      <c r="K426" s="2" t="s">
        <v>63</v>
      </c>
      <c r="L426" s="2" t="s">
        <v>3068</v>
      </c>
      <c r="M426" s="2" t="s">
        <v>39</v>
      </c>
      <c r="N426" s="2" t="s">
        <v>40</v>
      </c>
      <c r="O426" s="2" t="s">
        <v>3116</v>
      </c>
      <c r="P426" s="2" t="str">
        <f>+VLOOKUP(Maestro_Clientes[[#This Row],[Entrega]],Preparacion!A:B,2,0)</f>
        <v>LUNES</v>
      </c>
    </row>
    <row r="427" spans="1:17" x14ac:dyDescent="0.25">
      <c r="A427" s="2" t="s">
        <v>3389</v>
      </c>
      <c r="B427" s="2" t="s">
        <v>3390</v>
      </c>
      <c r="C427" s="2" t="s">
        <v>3391</v>
      </c>
      <c r="D427" s="2" t="s">
        <v>8</v>
      </c>
      <c r="E427" s="2" t="s">
        <v>3392</v>
      </c>
      <c r="F427" s="2">
        <v>1025</v>
      </c>
      <c r="G427" s="2" t="s">
        <v>113</v>
      </c>
      <c r="H427" s="2" t="s">
        <v>3387</v>
      </c>
      <c r="I427" s="2" t="s">
        <v>3387</v>
      </c>
      <c r="J427" s="2" t="s">
        <v>3388</v>
      </c>
      <c r="K427" s="2" t="s">
        <v>12</v>
      </c>
      <c r="L427" s="2" t="s">
        <v>3176</v>
      </c>
      <c r="M427" s="2" t="s">
        <v>118</v>
      </c>
      <c r="N427" s="2" t="s">
        <v>119</v>
      </c>
      <c r="O427" s="2" t="s">
        <v>3023</v>
      </c>
      <c r="P427" s="2" t="str">
        <f>+VLOOKUP(Maestro_Clientes[[#This Row],[Entrega]],Preparacion!A:B,2,0)</f>
        <v>JUEVES</v>
      </c>
    </row>
    <row r="428" spans="1:17" customFormat="1" x14ac:dyDescent="0.25">
      <c r="A428" s="2" t="s">
        <v>2407</v>
      </c>
      <c r="B428" s="2" t="s">
        <v>2404</v>
      </c>
      <c r="C428" s="2" t="s">
        <v>2405</v>
      </c>
      <c r="D428" s="2" t="s">
        <v>8</v>
      </c>
      <c r="E428" s="2" t="s">
        <v>2406</v>
      </c>
      <c r="F428" s="2">
        <v>1036</v>
      </c>
      <c r="G428" s="2" t="s">
        <v>834</v>
      </c>
      <c r="H428" s="2" t="s">
        <v>757</v>
      </c>
      <c r="I428" s="2" t="s">
        <v>931</v>
      </c>
      <c r="J428" s="2" t="s">
        <v>2829</v>
      </c>
      <c r="K428" s="2" t="s">
        <v>243</v>
      </c>
      <c r="L428" s="2" t="s">
        <v>3176</v>
      </c>
      <c r="M428" s="2" t="s">
        <v>839</v>
      </c>
      <c r="N428" s="2" t="s">
        <v>840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3653</v>
      </c>
      <c r="B429" s="2" t="s">
        <v>359</v>
      </c>
      <c r="C429" s="2" t="s">
        <v>360</v>
      </c>
      <c r="D429" s="2" t="s">
        <v>8</v>
      </c>
      <c r="E429" s="2" t="s">
        <v>3654</v>
      </c>
      <c r="F429" s="2">
        <v>1028</v>
      </c>
      <c r="G429" s="2" t="s">
        <v>81</v>
      </c>
      <c r="H429" s="2" t="s">
        <v>247</v>
      </c>
      <c r="I429" s="2" t="s">
        <v>247</v>
      </c>
      <c r="J429" s="2" t="s">
        <v>2741</v>
      </c>
      <c r="K429" s="2" t="s">
        <v>126</v>
      </c>
      <c r="L429" s="2" t="s">
        <v>3176</v>
      </c>
      <c r="M429" s="2" t="s">
        <v>87</v>
      </c>
      <c r="N429" s="2" t="s">
        <v>88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364</v>
      </c>
      <c r="B430" s="2" t="s">
        <v>359</v>
      </c>
      <c r="C430" s="2" t="s">
        <v>360</v>
      </c>
      <c r="D430" s="2" t="s">
        <v>8</v>
      </c>
      <c r="E430" s="2" t="s">
        <v>362</v>
      </c>
      <c r="F430" s="2">
        <v>1014</v>
      </c>
      <c r="G430" s="2" t="s">
        <v>59</v>
      </c>
      <c r="H430" s="2" t="s">
        <v>361</v>
      </c>
      <c r="I430" s="2" t="s">
        <v>363</v>
      </c>
      <c r="J430" s="2" t="s">
        <v>2757</v>
      </c>
      <c r="K430" s="2" t="s">
        <v>126</v>
      </c>
      <c r="L430" s="2" t="s">
        <v>3176</v>
      </c>
      <c r="M430" s="2" t="s">
        <v>2706</v>
      </c>
      <c r="N430" s="2" t="s">
        <v>66</v>
      </c>
      <c r="O430" s="2" t="str">
        <f>_xlfn.IFNA(+VLOOKUP(Maestro_Clientes[[#This Row],[Zona]],Tabla1[[#All],[Cruce Reportes]:[ENTREGA ]],2,0),Maestro_Clientes[[#This Row],[Zona]])</f>
        <v>Expreso</v>
      </c>
      <c r="P430" s="2" t="str">
        <f>+VLOOKUP(Maestro_Clientes[[#This Row],[Entrega]],Preparacion!A:B,2,0)</f>
        <v>Expreso</v>
      </c>
    </row>
    <row r="431" spans="1:17" customFormat="1" x14ac:dyDescent="0.25">
      <c r="A431" s="2" t="s">
        <v>2508</v>
      </c>
      <c r="B431" s="2" t="s">
        <v>2505</v>
      </c>
      <c r="C431" s="2" t="s">
        <v>2506</v>
      </c>
      <c r="D431" s="2" t="s">
        <v>8</v>
      </c>
      <c r="E431" s="2" t="s">
        <v>2507</v>
      </c>
      <c r="F431" s="2">
        <v>1001</v>
      </c>
      <c r="G431" s="2" t="s">
        <v>9</v>
      </c>
      <c r="H431" s="2" t="s">
        <v>1109</v>
      </c>
      <c r="I431" s="2" t="s">
        <v>1109</v>
      </c>
      <c r="J431" s="2" t="s">
        <v>2848</v>
      </c>
      <c r="K431" s="2" t="s">
        <v>12</v>
      </c>
      <c r="L431" s="2" t="s">
        <v>1109</v>
      </c>
      <c r="M431" s="2" t="s">
        <v>14</v>
      </c>
      <c r="N431" s="2" t="s">
        <v>15</v>
      </c>
      <c r="O431" s="2" t="str">
        <f>_xlfn.IFNA(+VLOOKUP(Maestro_Clientes[[#This Row],[Zona]],Tabla1[[#All],[Cruce Reportes]:[ENTREGA ]],2,0),Maestro_Clientes[[#This Row],[Zona]])</f>
        <v>MIERCOLES</v>
      </c>
      <c r="P431" s="2" t="str">
        <f>+VLOOKUP(Maestro_Clientes[[#This Row],[Entrega]],Preparacion!A:B,2,0)</f>
        <v>LUNES</v>
      </c>
    </row>
    <row r="432" spans="1:17" customFormat="1" x14ac:dyDescent="0.25">
      <c r="A432" s="2" t="s">
        <v>823</v>
      </c>
      <c r="B432" s="2" t="s">
        <v>819</v>
      </c>
      <c r="C432" s="2" t="s">
        <v>820</v>
      </c>
      <c r="D432" s="2" t="s">
        <v>8</v>
      </c>
      <c r="E432" s="2" t="s">
        <v>821</v>
      </c>
      <c r="F432" s="2">
        <v>1034</v>
      </c>
      <c r="G432" s="2" t="s">
        <v>158</v>
      </c>
      <c r="H432" s="2" t="s">
        <v>386</v>
      </c>
      <c r="I432" s="2" t="s">
        <v>822</v>
      </c>
      <c r="J432" s="2" t="s">
        <v>2762</v>
      </c>
      <c r="K432" s="2" t="s">
        <v>12</v>
      </c>
      <c r="L432" s="2" t="s">
        <v>85</v>
      </c>
      <c r="M432" s="2" t="s">
        <v>2706</v>
      </c>
      <c r="N432" s="2" t="s">
        <v>163</v>
      </c>
      <c r="O432" s="2" t="str">
        <f>_xlfn.IFNA(+VLOOKUP(Maestro_Clientes[[#This Row],[Zona]],Tabla1[[#All],[Cruce Reportes]:[ENTREGA ]],2,0),Maestro_Clientes[[#This Row],[Zona]])</f>
        <v>LUNES</v>
      </c>
      <c r="P432" s="2" t="str">
        <f>+VLOOKUP(Maestro_Clientes[[#This Row],[Entrega]],Preparacion!A:B,2,0)</f>
        <v>JUEVES</v>
      </c>
      <c r="Q432" s="2"/>
    </row>
    <row r="433" spans="1:17" customFormat="1" x14ac:dyDescent="0.25">
      <c r="A433" s="2" t="s">
        <v>2271</v>
      </c>
      <c r="B433" s="2" t="s">
        <v>2268</v>
      </c>
      <c r="C433" s="2" t="s">
        <v>2269</v>
      </c>
      <c r="D433" s="2" t="s">
        <v>8</v>
      </c>
      <c r="E433" s="2" t="s">
        <v>2270</v>
      </c>
      <c r="F433" s="2">
        <v>1002</v>
      </c>
      <c r="G433" s="2" t="s">
        <v>34</v>
      </c>
      <c r="H433" s="2" t="s">
        <v>723</v>
      </c>
      <c r="I433" s="2" t="s">
        <v>697</v>
      </c>
      <c r="J433" s="2" t="s">
        <v>2800</v>
      </c>
      <c r="K433" s="2" t="s">
        <v>518</v>
      </c>
      <c r="L433" s="2" t="s">
        <v>3176</v>
      </c>
      <c r="M433" s="2" t="s">
        <v>39</v>
      </c>
      <c r="N433" s="2" t="s">
        <v>40</v>
      </c>
      <c r="O433" s="2" t="str">
        <f>_xlfn.IFNA(+VLOOKUP(Maestro_Clientes[[#This Row],[Zona]],Tabla1[[#All],[Cruce Reportes]:[ENTREGA ]],2,0),Maestro_Clientes[[#This Row],[Zona]])</f>
        <v>Expreso</v>
      </c>
      <c r="P433" s="2" t="str">
        <f>+VLOOKUP(Maestro_Clientes[[#This Row],[Entrega]],Preparacion!A:B,2,0)</f>
        <v>Expreso</v>
      </c>
    </row>
    <row r="434" spans="1:17" x14ac:dyDescent="0.25">
      <c r="A434" s="2" t="s">
        <v>5109</v>
      </c>
      <c r="B434" s="2" t="s">
        <v>2172</v>
      </c>
      <c r="C434" s="2" t="s">
        <v>2173</v>
      </c>
      <c r="D434" s="2" t="s">
        <v>8</v>
      </c>
      <c r="O434" s="2" t="s">
        <v>3176</v>
      </c>
      <c r="P434" s="2" t="str">
        <f>+VLOOKUP(Maestro_Clientes[[#This Row],[Entrega]],Preparacion!A:B,2,0)</f>
        <v>Expreso</v>
      </c>
      <c r="Q434"/>
    </row>
    <row r="435" spans="1:17" customFormat="1" x14ac:dyDescent="0.25">
      <c r="A435" s="2" t="s">
        <v>4114</v>
      </c>
      <c r="B435" s="2" t="s">
        <v>2172</v>
      </c>
      <c r="C435" s="2" t="s">
        <v>2173</v>
      </c>
      <c r="D435" s="2" t="s">
        <v>8</v>
      </c>
      <c r="E435" s="2" t="s">
        <v>4115</v>
      </c>
      <c r="F435" s="2">
        <v>1034</v>
      </c>
      <c r="G435" s="2" t="s">
        <v>158</v>
      </c>
      <c r="H435" s="2" t="s">
        <v>4116</v>
      </c>
      <c r="I435" s="2" t="s">
        <v>1396</v>
      </c>
      <c r="J435" s="2" t="s">
        <v>2880</v>
      </c>
      <c r="K435" s="2" t="s">
        <v>12</v>
      </c>
      <c r="L435" s="2" t="s">
        <v>3176</v>
      </c>
      <c r="M435" s="2" t="s">
        <v>2706</v>
      </c>
      <c r="N435" s="2" t="s">
        <v>163</v>
      </c>
      <c r="O435" s="2" t="str">
        <f>_xlfn.IFNA(+VLOOKUP(Maestro_Clientes[[#This Row],[Zona]],Tabla1[[#All],[Cruce Reportes]:[ENTREGA ]],2,0),Maestro_Clientes[[#This Row],[Zona]])</f>
        <v>Expreso</v>
      </c>
      <c r="P435" s="2" t="str">
        <f>+VLOOKUP(Maestro_Clientes[[#This Row],[Entrega]],Preparacion!A:B,2,0)</f>
        <v>Expreso</v>
      </c>
    </row>
    <row r="436" spans="1:17" customFormat="1" x14ac:dyDescent="0.25">
      <c r="A436" s="2" t="s">
        <v>2176</v>
      </c>
      <c r="B436" s="2" t="s">
        <v>2172</v>
      </c>
      <c r="C436" s="2" t="s">
        <v>2173</v>
      </c>
      <c r="D436" s="2" t="s">
        <v>8</v>
      </c>
      <c r="E436" s="2" t="s">
        <v>2174</v>
      </c>
      <c r="F436" s="2">
        <v>1028</v>
      </c>
      <c r="G436" s="2" t="s">
        <v>81</v>
      </c>
      <c r="H436" s="2" t="s">
        <v>676</v>
      </c>
      <c r="I436" s="2" t="s">
        <v>2175</v>
      </c>
      <c r="J436" s="2" t="s">
        <v>2797</v>
      </c>
      <c r="K436" s="2" t="s">
        <v>63</v>
      </c>
      <c r="L436" s="2" t="s">
        <v>3068</v>
      </c>
      <c r="M436" s="2" t="s">
        <v>87</v>
      </c>
      <c r="N436" s="2" t="s">
        <v>88</v>
      </c>
      <c r="O436" s="2" t="str">
        <f>_xlfn.IFNA(+VLOOKUP(Maestro_Clientes[[#This Row],[Zona]],Tabla1[[#All],[Cruce Reportes]:[ENTREGA ]],2,0),Maestro_Clientes[[#This Row],[Zona]])</f>
        <v>MARTES</v>
      </c>
      <c r="P436" s="2" t="str">
        <f>+VLOOKUP(Maestro_Clientes[[#This Row],[Entrega]],Preparacion!A:B,2,0)</f>
        <v>VIERNES</v>
      </c>
    </row>
    <row r="437" spans="1:17" customFormat="1" x14ac:dyDescent="0.25">
      <c r="A437" s="2" t="s">
        <v>5168</v>
      </c>
      <c r="B437" s="2" t="s">
        <v>5166</v>
      </c>
      <c r="C437" s="2" t="s">
        <v>5167</v>
      </c>
      <c r="D437" s="2" t="s">
        <v>8</v>
      </c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 t="s">
        <v>3176</v>
      </c>
      <c r="P437" s="2" t="str">
        <f>+VLOOKUP(Maestro_Clientes[[#This Row],[Entrega]],Preparacion!A:B,2,0)</f>
        <v>Expreso</v>
      </c>
    </row>
    <row r="438" spans="1:17" x14ac:dyDescent="0.25">
      <c r="A438" s="2" t="s">
        <v>638</v>
      </c>
      <c r="B438" s="2" t="s">
        <v>636</v>
      </c>
      <c r="C438" s="2" t="s">
        <v>637</v>
      </c>
      <c r="D438" s="2" t="s">
        <v>8</v>
      </c>
      <c r="E438" s="2" t="s">
        <v>602</v>
      </c>
      <c r="F438" s="2">
        <v>1001</v>
      </c>
      <c r="G438" s="2" t="s">
        <v>9</v>
      </c>
      <c r="H438" s="2" t="s">
        <v>446</v>
      </c>
      <c r="I438" s="2" t="s">
        <v>446</v>
      </c>
      <c r="J438" s="2" t="s">
        <v>2769</v>
      </c>
      <c r="K438" s="2" t="s">
        <v>12</v>
      </c>
      <c r="L438" s="2" t="s">
        <v>447</v>
      </c>
      <c r="M438" s="2" t="s">
        <v>14</v>
      </c>
      <c r="N438" s="2" t="s">
        <v>15</v>
      </c>
      <c r="O438" s="2" t="s">
        <v>3125</v>
      </c>
      <c r="P438" s="2" t="str">
        <f>+VLOOKUP(Maestro_Clientes[[#This Row],[Entrega]],Preparacion!A:B,2,0)</f>
        <v>MARTES</v>
      </c>
      <c r="Q438"/>
    </row>
    <row r="439" spans="1:17" customFormat="1" x14ac:dyDescent="0.25">
      <c r="A439" s="2" t="s">
        <v>5241</v>
      </c>
      <c r="B439" s="2" t="s">
        <v>5239</v>
      </c>
      <c r="C439" s="2" t="s">
        <v>5240</v>
      </c>
      <c r="D439" s="2" t="s">
        <v>8</v>
      </c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 t="s">
        <v>3176</v>
      </c>
      <c r="P439" s="2" t="str">
        <f>+VLOOKUP(Maestro_Clientes[[#This Row],[Entrega]],Preparacion!A:B,2,0)</f>
        <v>Expreso</v>
      </c>
      <c r="Q439" s="2"/>
    </row>
    <row r="440" spans="1:17" customFormat="1" x14ac:dyDescent="0.25">
      <c r="A440" s="2" t="s">
        <v>2029</v>
      </c>
      <c r="B440" s="2" t="s">
        <v>2025</v>
      </c>
      <c r="C440" s="2" t="s">
        <v>2026</v>
      </c>
      <c r="D440" s="2" t="s">
        <v>8</v>
      </c>
      <c r="E440" s="2" t="s">
        <v>2028</v>
      </c>
      <c r="F440" s="2">
        <v>1002</v>
      </c>
      <c r="G440" s="2" t="s">
        <v>34</v>
      </c>
      <c r="H440" s="2" t="s">
        <v>2027</v>
      </c>
      <c r="I440" s="2" t="s">
        <v>2027</v>
      </c>
      <c r="J440" s="2" t="s">
        <v>2939</v>
      </c>
      <c r="K440" s="2" t="s">
        <v>12</v>
      </c>
      <c r="L440" s="2" t="s">
        <v>346</v>
      </c>
      <c r="M440" s="2" t="s">
        <v>39</v>
      </c>
      <c r="N440" s="2" t="s">
        <v>40</v>
      </c>
      <c r="O440" s="2" t="str">
        <f>_xlfn.IFNA(+VLOOKUP(Maestro_Clientes[[#This Row],[Zona]],Tabla1[[#All],[Cruce Reportes]:[ENTREGA ]],2,0),Maestro_Clientes[[#This Row],[Zona]])</f>
        <v>LUNES</v>
      </c>
      <c r="P440" s="2" t="str">
        <f>+VLOOKUP(Maestro_Clientes[[#This Row],[Entrega]],Preparacion!A:B,2,0)</f>
        <v>JUEVES</v>
      </c>
      <c r="Q440" s="2"/>
    </row>
    <row r="441" spans="1:17" customFormat="1" x14ac:dyDescent="0.25">
      <c r="A441" s="2" t="s">
        <v>3664</v>
      </c>
      <c r="B441" s="2" t="s">
        <v>3665</v>
      </c>
      <c r="C441" s="2" t="s">
        <v>3666</v>
      </c>
      <c r="D441" s="2" t="s">
        <v>8</v>
      </c>
      <c r="E441" s="2" t="s">
        <v>3667</v>
      </c>
      <c r="F441" s="2">
        <v>1023</v>
      </c>
      <c r="G441" s="2" t="s">
        <v>2092</v>
      </c>
      <c r="H441" s="2" t="s">
        <v>757</v>
      </c>
      <c r="I441" s="2" t="s">
        <v>931</v>
      </c>
      <c r="J441" s="2" t="s">
        <v>2829</v>
      </c>
      <c r="K441" s="2" t="s">
        <v>243</v>
      </c>
      <c r="L441" s="2" t="s">
        <v>3176</v>
      </c>
      <c r="M441" s="2" t="s">
        <v>2093</v>
      </c>
      <c r="N441" s="2" t="s">
        <v>2094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2267</v>
      </c>
      <c r="B442" s="2" t="s">
        <v>2264</v>
      </c>
      <c r="C442" s="2" t="s">
        <v>2265</v>
      </c>
      <c r="D442" s="2" t="s">
        <v>8</v>
      </c>
      <c r="E442" s="2" t="s">
        <v>2266</v>
      </c>
      <c r="F442" s="2">
        <v>1014</v>
      </c>
      <c r="G442" s="2" t="s">
        <v>59</v>
      </c>
      <c r="H442" s="2" t="s">
        <v>1048</v>
      </c>
      <c r="I442" s="2" t="s">
        <v>1050</v>
      </c>
      <c r="J442" s="2" t="s">
        <v>2843</v>
      </c>
      <c r="K442" s="2" t="s">
        <v>531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2066</v>
      </c>
      <c r="B443" s="2" t="s">
        <v>2062</v>
      </c>
      <c r="C443" s="2" t="s">
        <v>2063</v>
      </c>
      <c r="D443" s="2" t="s">
        <v>8</v>
      </c>
      <c r="E443" s="2" t="s">
        <v>2065</v>
      </c>
      <c r="F443" s="2">
        <v>1014</v>
      </c>
      <c r="G443" s="2" t="s">
        <v>59</v>
      </c>
      <c r="H443" s="2" t="s">
        <v>2064</v>
      </c>
      <c r="I443" s="2" t="s">
        <v>440</v>
      </c>
      <c r="J443" s="2" t="s">
        <v>2768</v>
      </c>
      <c r="K443" s="2" t="s">
        <v>440</v>
      </c>
      <c r="L443" s="2" t="s">
        <v>3176</v>
      </c>
      <c r="M443" s="2" t="s">
        <v>2706</v>
      </c>
      <c r="N443" s="2" t="s">
        <v>66</v>
      </c>
      <c r="O443" s="2" t="str">
        <f>_xlfn.IFNA(+VLOOKUP(Maestro_Clientes[[#This Row],[Zona]],Tabla1[[#All],[Cruce Reportes]:[ENTREGA ]],2,0),Maestro_Clientes[[#This Row],[Zona]])</f>
        <v>Expreso</v>
      </c>
      <c r="P443" s="2" t="str">
        <f>+VLOOKUP(Maestro_Clientes[[#This Row],[Entrega]],Preparacion!A:B,2,0)</f>
        <v>Expreso</v>
      </c>
    </row>
    <row r="444" spans="1:17" customFormat="1" x14ac:dyDescent="0.25">
      <c r="A444" s="2" t="s">
        <v>4534</v>
      </c>
      <c r="B444" s="2" t="s">
        <v>4535</v>
      </c>
      <c r="C444" s="2" t="s">
        <v>4536</v>
      </c>
      <c r="D444" s="2" t="s">
        <v>8</v>
      </c>
      <c r="E444" s="2" t="s">
        <v>4537</v>
      </c>
      <c r="F444" s="2">
        <v>1002</v>
      </c>
      <c r="G444" s="2" t="s">
        <v>34</v>
      </c>
      <c r="H444" s="2" t="s">
        <v>837</v>
      </c>
      <c r="I444" s="2" t="s">
        <v>837</v>
      </c>
      <c r="J444" s="2" t="s">
        <v>2771</v>
      </c>
      <c r="K444" s="2" t="s">
        <v>12</v>
      </c>
      <c r="L444" s="2" t="s">
        <v>3023</v>
      </c>
      <c r="M444" s="2" t="s">
        <v>39</v>
      </c>
      <c r="N444" s="2" t="s">
        <v>40</v>
      </c>
      <c r="O444" s="2" t="str">
        <f>_xlfn.IFNA(+VLOOKUP(Maestro_Clientes[[#This Row],[Zona]],Tabla1[[#All],[Cruce Reportes]:[ENTREGA ]],2,0),Maestro_Clientes[[#This Row],[Zona]])</f>
        <v>LUNES</v>
      </c>
      <c r="P444" s="2" t="str">
        <f>+VLOOKUP(Maestro_Clientes[[#This Row],[Entrega]],Preparacion!A:B,2,0)</f>
        <v>JUEVES</v>
      </c>
      <c r="Q444" s="2"/>
    </row>
    <row r="445" spans="1:17" customFormat="1" x14ac:dyDescent="0.25">
      <c r="A445" s="2" t="s">
        <v>3655</v>
      </c>
      <c r="B445" s="2" t="s">
        <v>3656</v>
      </c>
      <c r="C445" s="2" t="s">
        <v>3657</v>
      </c>
      <c r="D445" s="2" t="s">
        <v>8</v>
      </c>
      <c r="E445" s="2" t="s">
        <v>3658</v>
      </c>
      <c r="F445" s="2">
        <v>1001</v>
      </c>
      <c r="G445" s="2" t="s">
        <v>9</v>
      </c>
      <c r="H445" s="2" t="s">
        <v>3659</v>
      </c>
      <c r="I445" s="2" t="s">
        <v>3660</v>
      </c>
      <c r="J445" s="2" t="s">
        <v>2735</v>
      </c>
      <c r="K445" s="2" t="s">
        <v>220</v>
      </c>
      <c r="L445" s="2" t="s">
        <v>3158</v>
      </c>
      <c r="M445" s="2" t="s">
        <v>14</v>
      </c>
      <c r="N445" s="2" t="s">
        <v>15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3661</v>
      </c>
      <c r="B446" s="2" t="s">
        <v>3656</v>
      </c>
      <c r="C446" s="2" t="s">
        <v>3657</v>
      </c>
      <c r="D446" s="2" t="s">
        <v>8</v>
      </c>
      <c r="E446" s="2" t="s">
        <v>3662</v>
      </c>
      <c r="F446" s="2">
        <v>1028</v>
      </c>
      <c r="G446" s="2" t="s">
        <v>81</v>
      </c>
      <c r="H446" s="2" t="s">
        <v>3663</v>
      </c>
      <c r="I446" s="2" t="s">
        <v>237</v>
      </c>
      <c r="J446" s="2" t="s">
        <v>2738</v>
      </c>
      <c r="K446" s="2" t="s">
        <v>237</v>
      </c>
      <c r="L446" s="2" t="s">
        <v>3158</v>
      </c>
      <c r="M446" s="2" t="s">
        <v>87</v>
      </c>
      <c r="N446" s="2" t="s">
        <v>88</v>
      </c>
      <c r="O446" s="2" t="s">
        <v>3125</v>
      </c>
      <c r="P446" s="2" t="str">
        <f>+VLOOKUP(Maestro_Clientes[[#This Row],[Entrega]],Preparacion!A:B,2,0)</f>
        <v>MARTES</v>
      </c>
    </row>
    <row r="447" spans="1:17" customFormat="1" x14ac:dyDescent="0.25">
      <c r="A447" s="2" t="s">
        <v>5047</v>
      </c>
      <c r="B447" s="2" t="s">
        <v>5046</v>
      </c>
      <c r="C447" s="2" t="s">
        <v>5048</v>
      </c>
      <c r="D447" s="2" t="s">
        <v>8</v>
      </c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 t="s">
        <v>3176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1669</v>
      </c>
      <c r="B448" s="2" t="s">
        <v>1665</v>
      </c>
      <c r="C448" s="2" t="s">
        <v>1666</v>
      </c>
      <c r="D448" s="2" t="s">
        <v>8</v>
      </c>
      <c r="E448" s="2" t="s">
        <v>1668</v>
      </c>
      <c r="F448" s="2">
        <v>0</v>
      </c>
      <c r="G448" s="2" t="s">
        <v>3176</v>
      </c>
      <c r="H448" s="2" t="s">
        <v>1667</v>
      </c>
      <c r="I448" s="2" t="s">
        <v>62</v>
      </c>
      <c r="J448" s="2" t="s">
        <v>2710</v>
      </c>
      <c r="K448" s="2" t="s">
        <v>63</v>
      </c>
      <c r="L448" s="2" t="s">
        <v>3176</v>
      </c>
      <c r="M448" s="2" t="s">
        <v>2706</v>
      </c>
      <c r="N448" s="2" t="s">
        <v>2706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4440</v>
      </c>
      <c r="B449" s="2" t="s">
        <v>4441</v>
      </c>
      <c r="C449" s="2" t="s">
        <v>4442</v>
      </c>
      <c r="D449" s="2" t="s">
        <v>8</v>
      </c>
      <c r="E449" s="2" t="s">
        <v>4443</v>
      </c>
      <c r="F449" s="2">
        <v>1034</v>
      </c>
      <c r="G449" s="2" t="s">
        <v>158</v>
      </c>
      <c r="H449" s="2" t="s">
        <v>173</v>
      </c>
      <c r="I449" s="2" t="s">
        <v>4444</v>
      </c>
      <c r="J449" s="2" t="s">
        <v>4445</v>
      </c>
      <c r="K449" s="2" t="s">
        <v>126</v>
      </c>
      <c r="L449" s="2" t="s">
        <v>3009</v>
      </c>
      <c r="M449" s="2" t="s">
        <v>2706</v>
      </c>
      <c r="N449" s="2" t="s">
        <v>163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2621</v>
      </c>
      <c r="B450" s="2" t="s">
        <v>2618</v>
      </c>
      <c r="C450" s="2" t="s">
        <v>2619</v>
      </c>
      <c r="D450" s="2" t="s">
        <v>8</v>
      </c>
      <c r="E450" s="2" t="s">
        <v>2620</v>
      </c>
      <c r="F450" s="2">
        <v>1025</v>
      </c>
      <c r="G450" s="2" t="s">
        <v>113</v>
      </c>
      <c r="H450" s="2" t="s">
        <v>229</v>
      </c>
      <c r="I450" s="2" t="s">
        <v>247</v>
      </c>
      <c r="J450" s="2" t="s">
        <v>2741</v>
      </c>
      <c r="K450" s="2" t="s">
        <v>126</v>
      </c>
      <c r="L450" s="2" t="s">
        <v>3176</v>
      </c>
      <c r="M450" s="2" t="s">
        <v>118</v>
      </c>
      <c r="N450" s="2" t="s">
        <v>119</v>
      </c>
      <c r="O450" s="2" t="str">
        <f>_xlfn.IFNA(+VLOOKUP(Maestro_Clientes[[#This Row],[Zona]],Tabla1[[#All],[Cruce Reportes]:[ENTREGA ]],2,0),Maestro_Clientes[[#This Row],[Zona]])</f>
        <v>Expreso</v>
      </c>
      <c r="P450" s="2" t="str">
        <f>+VLOOKUP(Maestro_Clientes[[#This Row],[Entrega]],Preparacion!A:B,2,0)</f>
        <v>Expreso</v>
      </c>
    </row>
    <row r="451" spans="1:16" customFormat="1" x14ac:dyDescent="0.25">
      <c r="A451" s="2" t="s">
        <v>1124</v>
      </c>
      <c r="B451" s="2" t="s">
        <v>1121</v>
      </c>
      <c r="C451" s="2" t="s">
        <v>1122</v>
      </c>
      <c r="D451" s="2" t="s">
        <v>8</v>
      </c>
      <c r="E451" s="2" t="s">
        <v>1123</v>
      </c>
      <c r="F451" s="2">
        <v>1001</v>
      </c>
      <c r="G451" s="2" t="s">
        <v>9</v>
      </c>
      <c r="H451" s="2" t="s">
        <v>1109</v>
      </c>
      <c r="I451" s="2" t="s">
        <v>1109</v>
      </c>
      <c r="J451" s="2" t="s">
        <v>2848</v>
      </c>
      <c r="K451" s="2" t="s">
        <v>12</v>
      </c>
      <c r="L451" s="2" t="s">
        <v>1109</v>
      </c>
      <c r="M451" s="2" t="s">
        <v>14</v>
      </c>
      <c r="N451" s="2" t="s">
        <v>15</v>
      </c>
      <c r="O451" s="2" t="str">
        <f>_xlfn.IFNA(+VLOOKUP(Maestro_Clientes[[#This Row],[Zona]],Tabla1[[#All],[Cruce Reportes]:[ENTREGA ]],2,0),Maestro_Clientes[[#This Row],[Zona]])</f>
        <v>MIERCOLES</v>
      </c>
      <c r="P451" s="2" t="str">
        <f>+VLOOKUP(Maestro_Clientes[[#This Row],[Entrega]],Preparacion!A:B,2,0)</f>
        <v>LUNES</v>
      </c>
    </row>
    <row r="452" spans="1:16" customFormat="1" x14ac:dyDescent="0.25">
      <c r="A452" s="2" t="s">
        <v>3372</v>
      </c>
      <c r="B452" s="2" t="s">
        <v>3373</v>
      </c>
      <c r="C452" s="2" t="s">
        <v>3374</v>
      </c>
      <c r="D452" s="2" t="s">
        <v>24</v>
      </c>
      <c r="E452" s="2" t="s">
        <v>3375</v>
      </c>
      <c r="F452" s="2">
        <v>0</v>
      </c>
      <c r="G452" s="2" t="s">
        <v>3176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2706</v>
      </c>
      <c r="N452" s="2" t="s">
        <v>2706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914</v>
      </c>
      <c r="B453" s="2" t="s">
        <v>910</v>
      </c>
      <c r="C453" s="2" t="s">
        <v>911</v>
      </c>
      <c r="D453" s="2" t="s">
        <v>8</v>
      </c>
      <c r="E453" s="2" t="s">
        <v>913</v>
      </c>
      <c r="F453" s="2">
        <v>1001</v>
      </c>
      <c r="G453" s="2" t="s">
        <v>9</v>
      </c>
      <c r="H453" s="2" t="s">
        <v>912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14</v>
      </c>
      <c r="N453" s="2" t="s">
        <v>15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3369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4943</v>
      </c>
      <c r="B455" s="2" t="s">
        <v>910</v>
      </c>
      <c r="C455" s="2" t="s">
        <v>911</v>
      </c>
      <c r="D455" s="2" t="s">
        <v>8</v>
      </c>
      <c r="E455" s="2" t="s">
        <v>3370</v>
      </c>
      <c r="F455" s="2">
        <v>1028</v>
      </c>
      <c r="G455" s="2" t="s">
        <v>81</v>
      </c>
      <c r="H455" s="2" t="s">
        <v>3371</v>
      </c>
      <c r="I455" s="2" t="s">
        <v>912</v>
      </c>
      <c r="J455" s="2" t="s">
        <v>2826</v>
      </c>
      <c r="K455" s="2" t="s">
        <v>12</v>
      </c>
      <c r="L455" s="2" t="s">
        <v>447</v>
      </c>
      <c r="M455" s="2" t="s">
        <v>87</v>
      </c>
      <c r="N455" s="2" t="s">
        <v>88</v>
      </c>
      <c r="O455" s="2" t="s">
        <v>3125</v>
      </c>
      <c r="P455" s="2" t="str">
        <f>+VLOOKUP(Maestro_Clientes[[#This Row],[Entrega]],Preparacion!A:B,2,0)</f>
        <v>MARTES</v>
      </c>
    </row>
    <row r="456" spans="1:16" customFormat="1" x14ac:dyDescent="0.25">
      <c r="A456" s="2" t="s">
        <v>4052</v>
      </c>
      <c r="B456" s="2" t="s">
        <v>4053</v>
      </c>
      <c r="C456" s="2" t="s">
        <v>4054</v>
      </c>
      <c r="D456" s="2" t="s">
        <v>8</v>
      </c>
      <c r="E456" s="2" t="s">
        <v>4055</v>
      </c>
      <c r="F456" s="2">
        <v>1001</v>
      </c>
      <c r="G456" s="2" t="s">
        <v>9</v>
      </c>
      <c r="H456" s="2" t="s">
        <v>329</v>
      </c>
      <c r="I456" s="2" t="s">
        <v>329</v>
      </c>
      <c r="J456" s="2" t="s">
        <v>2754</v>
      </c>
      <c r="K456" s="2" t="s">
        <v>12</v>
      </c>
      <c r="L456" s="2" t="s">
        <v>329</v>
      </c>
      <c r="M456" s="2" t="s">
        <v>14</v>
      </c>
      <c r="N456" s="2" t="s">
        <v>15</v>
      </c>
      <c r="O456" s="2" t="str">
        <f>_xlfn.IFNA(+VLOOKUP(Maestro_Clientes[[#This Row],[Zona]],Tabla1[[#All],[Cruce Reportes]:[ENTREGA ]],2,0),Maestro_Clientes[[#This Row],[Zona]])</f>
        <v>MIERCOLES</v>
      </c>
      <c r="P456" s="2" t="str">
        <f>+VLOOKUP(Maestro_Clientes[[#This Row],[Entrega]],Preparacion!A:B,2,0)</f>
        <v>LUNES</v>
      </c>
    </row>
    <row r="457" spans="1:16" customFormat="1" x14ac:dyDescent="0.25">
      <c r="A457" s="2" t="s">
        <v>4953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5158</v>
      </c>
      <c r="B458" s="2" t="s">
        <v>4934</v>
      </c>
      <c r="C458" s="2" t="s">
        <v>4969</v>
      </c>
      <c r="D458" s="2" t="s">
        <v>8</v>
      </c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 t="s">
        <v>3176</v>
      </c>
      <c r="P458" s="2" t="str">
        <f>+VLOOKUP(Maestro_Clientes[[#This Row],[Entrega]],Preparacion!A:B,2,0)</f>
        <v>Expreso</v>
      </c>
    </row>
    <row r="459" spans="1:16" customFormat="1" x14ac:dyDescent="0.25">
      <c r="A459" s="2" t="s">
        <v>1956</v>
      </c>
      <c r="B459" s="2" t="s">
        <v>502</v>
      </c>
      <c r="C459" s="2" t="s">
        <v>503</v>
      </c>
      <c r="D459" s="2" t="s">
        <v>24</v>
      </c>
      <c r="E459" s="2" t="s">
        <v>557</v>
      </c>
      <c r="F459" s="2">
        <v>0</v>
      </c>
      <c r="G459" s="2" t="s">
        <v>3176</v>
      </c>
      <c r="H459" s="2" t="s">
        <v>2706</v>
      </c>
      <c r="I459" s="2" t="s">
        <v>547</v>
      </c>
      <c r="J459" s="2" t="s">
        <v>2784</v>
      </c>
      <c r="K459" s="2" t="s">
        <v>310</v>
      </c>
      <c r="L459" s="2" t="s">
        <v>3176</v>
      </c>
      <c r="M459" s="2" t="s">
        <v>2706</v>
      </c>
      <c r="N459" s="2" t="s">
        <v>2706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536</v>
      </c>
      <c r="B460" s="2" t="s">
        <v>502</v>
      </c>
      <c r="C460" s="2" t="s">
        <v>503</v>
      </c>
      <c r="D460" s="2" t="s">
        <v>8</v>
      </c>
      <c r="E460" s="2" t="s">
        <v>534</v>
      </c>
      <c r="F460" s="2">
        <v>1014</v>
      </c>
      <c r="G460" s="2" t="s">
        <v>59</v>
      </c>
      <c r="H460" s="2" t="s">
        <v>533</v>
      </c>
      <c r="I460" s="2" t="s">
        <v>535</v>
      </c>
      <c r="J460" s="2" t="s">
        <v>2781</v>
      </c>
      <c r="K460" s="2" t="s">
        <v>281</v>
      </c>
      <c r="L460" s="2" t="s">
        <v>3176</v>
      </c>
      <c r="M460" s="2" t="s">
        <v>2706</v>
      </c>
      <c r="N460" s="2" t="s">
        <v>66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532</v>
      </c>
      <c r="B461" s="2" t="s">
        <v>502</v>
      </c>
      <c r="C461" s="2" t="s">
        <v>503</v>
      </c>
      <c r="D461" s="2" t="s">
        <v>8</v>
      </c>
      <c r="E461" s="2" t="s">
        <v>529</v>
      </c>
      <c r="F461" s="2">
        <v>1034</v>
      </c>
      <c r="G461" s="2" t="s">
        <v>158</v>
      </c>
      <c r="H461" s="2" t="s">
        <v>528</v>
      </c>
      <c r="I461" s="2" t="s">
        <v>530</v>
      </c>
      <c r="J461" s="2" t="s">
        <v>2780</v>
      </c>
      <c r="K461" s="2" t="s">
        <v>531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507</v>
      </c>
      <c r="B462" s="2" t="s">
        <v>502</v>
      </c>
      <c r="C462" s="2" t="s">
        <v>503</v>
      </c>
      <c r="D462" s="2" t="s">
        <v>8</v>
      </c>
      <c r="E462" s="2" t="s">
        <v>505</v>
      </c>
      <c r="F462" s="2">
        <v>1034</v>
      </c>
      <c r="G462" s="2" t="s">
        <v>158</v>
      </c>
      <c r="H462" s="2" t="s">
        <v>504</v>
      </c>
      <c r="I462" s="2" t="s">
        <v>506</v>
      </c>
      <c r="J462" s="2" t="s">
        <v>2776</v>
      </c>
      <c r="K462" s="2" t="s">
        <v>12</v>
      </c>
      <c r="L462" s="2" t="s">
        <v>3176</v>
      </c>
      <c r="M462" s="2" t="s">
        <v>2706</v>
      </c>
      <c r="N462" s="2" t="s">
        <v>163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514</v>
      </c>
      <c r="B463" s="2" t="s">
        <v>502</v>
      </c>
      <c r="C463" s="2" t="s">
        <v>503</v>
      </c>
      <c r="D463" s="2" t="s">
        <v>8</v>
      </c>
      <c r="E463" s="2" t="s">
        <v>512</v>
      </c>
      <c r="F463" s="2">
        <v>1014</v>
      </c>
      <c r="G463" s="2" t="s">
        <v>59</v>
      </c>
      <c r="H463" s="2" t="s">
        <v>511</v>
      </c>
      <c r="I463" s="2" t="s">
        <v>513</v>
      </c>
      <c r="J463" s="2" t="s">
        <v>2727</v>
      </c>
      <c r="K463" s="2" t="s">
        <v>169</v>
      </c>
      <c r="L463" s="2" t="s">
        <v>3176</v>
      </c>
      <c r="M463" s="2" t="s">
        <v>2706</v>
      </c>
      <c r="N463" s="2" t="s">
        <v>66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519</v>
      </c>
      <c r="B464" s="2" t="s">
        <v>502</v>
      </c>
      <c r="C464" s="2" t="s">
        <v>503</v>
      </c>
      <c r="D464" s="2" t="s">
        <v>8</v>
      </c>
      <c r="E464" s="2" t="s">
        <v>516</v>
      </c>
      <c r="F464" s="2">
        <v>1028</v>
      </c>
      <c r="G464" s="2" t="s">
        <v>81</v>
      </c>
      <c r="H464" s="2" t="s">
        <v>515</v>
      </c>
      <c r="I464" s="2" t="s">
        <v>517</v>
      </c>
      <c r="J464" s="2" t="s">
        <v>2777</v>
      </c>
      <c r="K464" s="2" t="s">
        <v>518</v>
      </c>
      <c r="L464" s="2" t="s">
        <v>3176</v>
      </c>
      <c r="M464" s="2" t="s">
        <v>87</v>
      </c>
      <c r="N464" s="2" t="s">
        <v>88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558</v>
      </c>
      <c r="B465" s="2" t="s">
        <v>502</v>
      </c>
      <c r="C465" s="2" t="s">
        <v>503</v>
      </c>
      <c r="D465" s="2" t="s">
        <v>8</v>
      </c>
      <c r="E465" s="2" t="s">
        <v>557</v>
      </c>
      <c r="F465" s="2">
        <v>1034</v>
      </c>
      <c r="G465" s="2" t="s">
        <v>158</v>
      </c>
      <c r="H465" s="2" t="s">
        <v>556</v>
      </c>
      <c r="I465" s="2" t="s">
        <v>547</v>
      </c>
      <c r="J465" s="2" t="s">
        <v>2784</v>
      </c>
      <c r="K465" s="2" t="s">
        <v>310</v>
      </c>
      <c r="L465" s="2" t="s">
        <v>3176</v>
      </c>
      <c r="M465" s="2" t="s">
        <v>2706</v>
      </c>
      <c r="N465" s="2" t="s">
        <v>163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523</v>
      </c>
      <c r="B466" s="2" t="s">
        <v>502</v>
      </c>
      <c r="C466" s="2" t="s">
        <v>503</v>
      </c>
      <c r="D466" s="2" t="s">
        <v>8</v>
      </c>
      <c r="E466" s="2" t="s">
        <v>521</v>
      </c>
      <c r="F466" s="2">
        <v>1014</v>
      </c>
      <c r="G466" s="2" t="s">
        <v>59</v>
      </c>
      <c r="H466" s="2" t="s">
        <v>520</v>
      </c>
      <c r="I466" s="2" t="s">
        <v>522</v>
      </c>
      <c r="J466" s="2" t="s">
        <v>2778</v>
      </c>
      <c r="K466" s="2" t="s">
        <v>281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527</v>
      </c>
      <c r="B467" s="2" t="s">
        <v>502</v>
      </c>
      <c r="C467" s="2" t="s">
        <v>503</v>
      </c>
      <c r="D467" s="2" t="s">
        <v>8</v>
      </c>
      <c r="E467" s="2" t="s">
        <v>525</v>
      </c>
      <c r="F467" s="2">
        <v>1014</v>
      </c>
      <c r="G467" s="2" t="s">
        <v>59</v>
      </c>
      <c r="H467" s="2" t="s">
        <v>524</v>
      </c>
      <c r="I467" s="2" t="s">
        <v>526</v>
      </c>
      <c r="J467" s="2" t="s">
        <v>2779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510</v>
      </c>
      <c r="B468" s="2" t="s">
        <v>502</v>
      </c>
      <c r="C468" s="2" t="s">
        <v>503</v>
      </c>
      <c r="D468" s="2" t="s">
        <v>8</v>
      </c>
      <c r="E468" s="2" t="s">
        <v>509</v>
      </c>
      <c r="F468" s="2">
        <v>1014</v>
      </c>
      <c r="G468" s="2" t="s">
        <v>59</v>
      </c>
      <c r="H468" s="2" t="s">
        <v>508</v>
      </c>
      <c r="I468" s="2" t="s">
        <v>309</v>
      </c>
      <c r="J468" s="2" t="s">
        <v>2749</v>
      </c>
      <c r="K468" s="2" t="s">
        <v>310</v>
      </c>
      <c r="L468" s="2" t="s">
        <v>3176</v>
      </c>
      <c r="M468" s="2" t="s">
        <v>2706</v>
      </c>
      <c r="N468" s="2" t="s">
        <v>66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561</v>
      </c>
      <c r="B469" s="2" t="s">
        <v>502</v>
      </c>
      <c r="C469" s="2" t="s">
        <v>503</v>
      </c>
      <c r="D469" s="2" t="s">
        <v>8</v>
      </c>
      <c r="E469" s="2" t="s">
        <v>560</v>
      </c>
      <c r="F469" s="2">
        <v>1034</v>
      </c>
      <c r="G469" s="2" t="s">
        <v>158</v>
      </c>
      <c r="H469" s="2" t="s">
        <v>559</v>
      </c>
      <c r="I469" s="2" t="s">
        <v>547</v>
      </c>
      <c r="J469" s="2" t="s">
        <v>2784</v>
      </c>
      <c r="K469" s="2" t="s">
        <v>310</v>
      </c>
      <c r="L469" s="2" t="s">
        <v>3176</v>
      </c>
      <c r="M469" s="2" t="s">
        <v>2706</v>
      </c>
      <c r="N469" s="2" t="s">
        <v>163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540</v>
      </c>
      <c r="B470" s="2" t="s">
        <v>502</v>
      </c>
      <c r="C470" s="2" t="s">
        <v>503</v>
      </c>
      <c r="D470" s="2" t="s">
        <v>8</v>
      </c>
      <c r="E470" s="2" t="s">
        <v>538</v>
      </c>
      <c r="F470" s="2">
        <v>1014</v>
      </c>
      <c r="G470" s="2" t="s">
        <v>59</v>
      </c>
      <c r="H470" s="2" t="s">
        <v>537</v>
      </c>
      <c r="I470" s="2" t="s">
        <v>539</v>
      </c>
      <c r="J470" s="2" t="s">
        <v>2782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customFormat="1" x14ac:dyDescent="0.25">
      <c r="A471" s="2" t="s">
        <v>544</v>
      </c>
      <c r="B471" s="2" t="s">
        <v>502</v>
      </c>
      <c r="C471" s="2" t="s">
        <v>503</v>
      </c>
      <c r="D471" s="2" t="s">
        <v>8</v>
      </c>
      <c r="E471" s="2" t="s">
        <v>542</v>
      </c>
      <c r="F471" s="2">
        <v>1014</v>
      </c>
      <c r="G471" s="2" t="s">
        <v>59</v>
      </c>
      <c r="H471" s="2" t="s">
        <v>541</v>
      </c>
      <c r="I471" s="2" t="s">
        <v>543</v>
      </c>
      <c r="J471" s="2" t="s">
        <v>2783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</row>
    <row r="472" spans="1:17" x14ac:dyDescent="0.25">
      <c r="A472" s="2" t="s">
        <v>548</v>
      </c>
      <c r="B472" s="2" t="s">
        <v>502</v>
      </c>
      <c r="C472" s="2" t="s">
        <v>503</v>
      </c>
      <c r="D472" s="2" t="s">
        <v>8</v>
      </c>
      <c r="E472" s="2" t="s">
        <v>546</v>
      </c>
      <c r="F472" s="2">
        <v>1014</v>
      </c>
      <c r="G472" s="2" t="s">
        <v>59</v>
      </c>
      <c r="H472" s="2" t="s">
        <v>545</v>
      </c>
      <c r="I472" s="2" t="s">
        <v>547</v>
      </c>
      <c r="J472" s="2" t="s">
        <v>2784</v>
      </c>
      <c r="K472" s="2" t="s">
        <v>310</v>
      </c>
      <c r="L472" s="2" t="s">
        <v>3176</v>
      </c>
      <c r="M472" s="2" t="s">
        <v>2706</v>
      </c>
      <c r="N472" s="2" t="s">
        <v>66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552</v>
      </c>
      <c r="B473" s="2" t="s">
        <v>502</v>
      </c>
      <c r="C473" s="2" t="s">
        <v>503</v>
      </c>
      <c r="D473" s="2" t="s">
        <v>8</v>
      </c>
      <c r="E473" s="2" t="s">
        <v>550</v>
      </c>
      <c r="F473" s="2">
        <v>1034</v>
      </c>
      <c r="G473" s="2" t="s">
        <v>158</v>
      </c>
      <c r="H473" s="2" t="s">
        <v>549</v>
      </c>
      <c r="I473" s="2" t="s">
        <v>551</v>
      </c>
      <c r="J473" s="2" t="s">
        <v>2785</v>
      </c>
      <c r="K473" s="2" t="s">
        <v>169</v>
      </c>
      <c r="L473" s="2" t="s">
        <v>3176</v>
      </c>
      <c r="M473" s="2" t="s">
        <v>2706</v>
      </c>
      <c r="N473" s="2" t="s">
        <v>163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555</v>
      </c>
      <c r="B474" s="2" t="s">
        <v>502</v>
      </c>
      <c r="C474" s="2" t="s">
        <v>503</v>
      </c>
      <c r="D474" s="2" t="s">
        <v>8</v>
      </c>
      <c r="E474" s="2" t="s">
        <v>554</v>
      </c>
      <c r="F474" s="2">
        <v>1014</v>
      </c>
      <c r="G474" s="2" t="s">
        <v>59</v>
      </c>
      <c r="H474" s="2" t="s">
        <v>553</v>
      </c>
      <c r="I474" s="2" t="s">
        <v>140</v>
      </c>
      <c r="J474" s="2" t="s">
        <v>2722</v>
      </c>
      <c r="K474" s="2" t="s">
        <v>140</v>
      </c>
      <c r="L474" s="2" t="s">
        <v>3176</v>
      </c>
      <c r="M474" s="2" t="s">
        <v>2706</v>
      </c>
      <c r="N474" s="2" t="s">
        <v>66</v>
      </c>
      <c r="O474" s="2" t="s">
        <v>3116</v>
      </c>
      <c r="P474" s="2" t="str">
        <f>+VLOOKUP(Maestro_Clientes[[#This Row],[Entrega]],Preparacion!A:B,2,0)</f>
        <v>LUNES</v>
      </c>
      <c r="Q474"/>
    </row>
    <row r="475" spans="1:17" x14ac:dyDescent="0.25">
      <c r="A475" s="2" t="s">
        <v>4446</v>
      </c>
      <c r="B475" s="2" t="s">
        <v>4447</v>
      </c>
      <c r="C475" s="2" t="s">
        <v>4448</v>
      </c>
      <c r="D475" s="2" t="s">
        <v>8</v>
      </c>
      <c r="E475" s="2" t="s">
        <v>4449</v>
      </c>
      <c r="F475" s="2">
        <v>1002</v>
      </c>
      <c r="G475" s="2" t="s">
        <v>34</v>
      </c>
      <c r="H475" s="2" t="s">
        <v>3861</v>
      </c>
      <c r="I475" s="2" t="s">
        <v>917</v>
      </c>
      <c r="J475" s="2" t="s">
        <v>4450</v>
      </c>
      <c r="K475" s="2" t="s">
        <v>126</v>
      </c>
      <c r="L475" s="2" t="s">
        <v>3009</v>
      </c>
      <c r="M475" s="2" t="s">
        <v>39</v>
      </c>
      <c r="N475" s="2" t="s">
        <v>40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  <c r="Q475"/>
    </row>
    <row r="476" spans="1:17" customFormat="1" x14ac:dyDescent="0.25">
      <c r="A476" s="2" t="s">
        <v>481</v>
      </c>
      <c r="B476" s="2" t="s">
        <v>477</v>
      </c>
      <c r="C476" s="2" t="s">
        <v>478</v>
      </c>
      <c r="D476" s="2" t="s">
        <v>8</v>
      </c>
      <c r="E476" s="2" t="s">
        <v>479</v>
      </c>
      <c r="F476" s="2">
        <v>1034</v>
      </c>
      <c r="G476" s="2" t="s">
        <v>158</v>
      </c>
      <c r="H476" s="2" t="s">
        <v>184</v>
      </c>
      <c r="I476" s="2" t="s">
        <v>480</v>
      </c>
      <c r="J476" s="2" t="s">
        <v>2773</v>
      </c>
      <c r="K476" s="2" t="s">
        <v>186</v>
      </c>
      <c r="L476" s="2" t="s">
        <v>3176</v>
      </c>
      <c r="M476" s="2" t="s">
        <v>2706</v>
      </c>
      <c r="N476" s="2" t="s">
        <v>163</v>
      </c>
      <c r="O476" s="2" t="str">
        <f>_xlfn.IFNA(+VLOOKUP(Maestro_Clientes[[#This Row],[Zona]],Tabla1[[#All],[Cruce Reportes]:[ENTREGA ]],2,0),Maestro_Clientes[[#This Row],[Zona]])</f>
        <v>Expreso</v>
      </c>
      <c r="P476" s="2" t="str">
        <f>+VLOOKUP(Maestro_Clientes[[#This Row],[Entrega]],Preparacion!A:B,2,0)</f>
        <v>Expreso</v>
      </c>
    </row>
    <row r="477" spans="1:17" customFormat="1" x14ac:dyDescent="0.25">
      <c r="A477" s="2" t="s">
        <v>1822</v>
      </c>
      <c r="B477" s="2" t="s">
        <v>1819</v>
      </c>
      <c r="C477" s="2" t="s">
        <v>1820</v>
      </c>
      <c r="D477" s="2" t="s">
        <v>8</v>
      </c>
      <c r="E477" s="2" t="s">
        <v>1821</v>
      </c>
      <c r="F477" s="2">
        <v>1001</v>
      </c>
      <c r="G477" s="2" t="s">
        <v>9</v>
      </c>
      <c r="H477" s="2" t="s">
        <v>108</v>
      </c>
      <c r="I477" s="2" t="s">
        <v>108</v>
      </c>
      <c r="J477" s="2" t="s">
        <v>2717</v>
      </c>
      <c r="K477" s="2" t="s">
        <v>12</v>
      </c>
      <c r="L477" s="2" t="s">
        <v>108</v>
      </c>
      <c r="M477" s="2" t="s">
        <v>14</v>
      </c>
      <c r="N477" s="2" t="s">
        <v>15</v>
      </c>
      <c r="O477" s="2" t="s">
        <v>3158</v>
      </c>
      <c r="P477" s="2" t="str">
        <f>+VLOOKUP(Maestro_Clientes[[#This Row],[Entrega]],Preparacion!A:B,2,0)</f>
        <v>MIERCOLES</v>
      </c>
    </row>
    <row r="478" spans="1:17" x14ac:dyDescent="0.25">
      <c r="A478" s="2" t="s">
        <v>497</v>
      </c>
      <c r="B478" s="2" t="s">
        <v>493</v>
      </c>
      <c r="C478" s="2" t="s">
        <v>494</v>
      </c>
      <c r="D478" s="2" t="s">
        <v>8</v>
      </c>
      <c r="E478" s="2" t="s">
        <v>496</v>
      </c>
      <c r="F478" s="2">
        <v>1014</v>
      </c>
      <c r="G478" s="2" t="s">
        <v>59</v>
      </c>
      <c r="H478" s="2" t="s">
        <v>495</v>
      </c>
      <c r="I478" s="2" t="s">
        <v>495</v>
      </c>
      <c r="J478" s="2" t="s">
        <v>2714</v>
      </c>
      <c r="K478" s="2" t="s">
        <v>12</v>
      </c>
      <c r="L478" s="2" t="s">
        <v>346</v>
      </c>
      <c r="M478" s="2" t="s">
        <v>2706</v>
      </c>
      <c r="N478" s="2" t="s">
        <v>66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</row>
    <row r="479" spans="1:17" customFormat="1" x14ac:dyDescent="0.25">
      <c r="A479" s="2" t="s">
        <v>4451</v>
      </c>
      <c r="B479" s="2" t="s">
        <v>493</v>
      </c>
      <c r="C479" s="2" t="s">
        <v>494</v>
      </c>
      <c r="D479" s="2" t="s">
        <v>8</v>
      </c>
      <c r="E479" s="2" t="s">
        <v>4452</v>
      </c>
      <c r="F479" s="2">
        <v>0</v>
      </c>
      <c r="G479" s="2" t="s">
        <v>3176</v>
      </c>
      <c r="H479" s="2" t="s">
        <v>1723</v>
      </c>
      <c r="I479" s="2" t="s">
        <v>1723</v>
      </c>
      <c r="J479" s="2" t="s">
        <v>4453</v>
      </c>
      <c r="K479" s="2" t="s">
        <v>12</v>
      </c>
      <c r="L479" s="2" t="s">
        <v>3023</v>
      </c>
      <c r="M479" s="2" t="s">
        <v>2706</v>
      </c>
      <c r="N479" s="2" t="s">
        <v>2706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1977</v>
      </c>
      <c r="B480" s="2" t="s">
        <v>493</v>
      </c>
      <c r="C480" s="2" t="s">
        <v>494</v>
      </c>
      <c r="D480" s="2" t="s">
        <v>8</v>
      </c>
      <c r="E480" s="2" t="s">
        <v>1976</v>
      </c>
      <c r="F480" s="2">
        <v>1025</v>
      </c>
      <c r="G480" s="2" t="s">
        <v>113</v>
      </c>
      <c r="H480" s="2" t="s">
        <v>1975</v>
      </c>
      <c r="I480" s="2" t="s">
        <v>1723</v>
      </c>
      <c r="J480" s="2" t="s">
        <v>2911</v>
      </c>
      <c r="K480" s="2" t="s">
        <v>12</v>
      </c>
      <c r="L480" s="2" t="s">
        <v>1700</v>
      </c>
      <c r="M480" s="2" t="s">
        <v>118</v>
      </c>
      <c r="N480" s="2" t="s">
        <v>119</v>
      </c>
      <c r="O480" s="2" t="str">
        <f>_xlfn.IFNA(+VLOOKUP(Maestro_Clientes[[#This Row],[Zona]],Tabla1[[#All],[Cruce Reportes]:[ENTREGA ]],2,0),Maestro_Clientes[[#This Row],[Zona]])</f>
        <v>LUNES</v>
      </c>
      <c r="P480" s="2" t="str">
        <f>+VLOOKUP(Maestro_Clientes[[#This Row],[Entrega]],Preparacion!A:B,2,0)</f>
        <v>JUEVES</v>
      </c>
      <c r="Q480" s="2"/>
    </row>
    <row r="481" spans="1:17" customFormat="1" x14ac:dyDescent="0.25">
      <c r="A481" s="2" t="s">
        <v>5333</v>
      </c>
      <c r="B481" s="2" t="s">
        <v>493</v>
      </c>
      <c r="C481" s="2" t="s">
        <v>494</v>
      </c>
      <c r="D481" s="2" t="s">
        <v>8</v>
      </c>
      <c r="E481" s="2" t="s">
        <v>446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3125</v>
      </c>
      <c r="P481" s="2" t="str">
        <f>+VLOOKUP(Maestro_Clientes[[#This Row],[Entrega]],Preparacion!A:B,2,0)</f>
        <v>MARTES</v>
      </c>
    </row>
    <row r="482" spans="1:17" customFormat="1" x14ac:dyDescent="0.25">
      <c r="A482" s="2" t="s">
        <v>5334</v>
      </c>
      <c r="B482" s="2" t="s">
        <v>493</v>
      </c>
      <c r="C482" s="2" t="s">
        <v>494</v>
      </c>
      <c r="D482" s="2" t="s">
        <v>8</v>
      </c>
      <c r="E482" s="2" t="s">
        <v>940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3023</v>
      </c>
      <c r="P482" s="2" t="str">
        <f>+VLOOKUP(Maestro_Clientes[[#This Row],[Entrega]],Preparacion!A:B,2,0)</f>
        <v>JUEVES</v>
      </c>
      <c r="Q482" s="2"/>
    </row>
    <row r="483" spans="1:17" customFormat="1" x14ac:dyDescent="0.25">
      <c r="A483" s="2" t="s">
        <v>5335</v>
      </c>
      <c r="B483" s="2" t="s">
        <v>493</v>
      </c>
      <c r="C483" s="2" t="s">
        <v>494</v>
      </c>
      <c r="D483" s="2" t="s">
        <v>8</v>
      </c>
      <c r="E483" s="2" t="s">
        <v>329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3116</v>
      </c>
      <c r="P483" s="2" t="str">
        <f>+VLOOKUP(Maestro_Clientes[[#This Row],[Entrega]],Preparacion!A:B,2,0)</f>
        <v>LUNES</v>
      </c>
      <c r="Q483" s="2"/>
    </row>
    <row r="484" spans="1:17" customFormat="1" x14ac:dyDescent="0.25">
      <c r="A484" s="2" t="s">
        <v>5336</v>
      </c>
      <c r="B484" s="2" t="s">
        <v>493</v>
      </c>
      <c r="C484" s="2" t="s">
        <v>494</v>
      </c>
      <c r="D484" s="2" t="s">
        <v>8</v>
      </c>
      <c r="E484" s="2" t="s">
        <v>77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3023</v>
      </c>
      <c r="P484" s="2" t="str">
        <f>+VLOOKUP(Maestro_Clientes[[#This Row],[Entrega]],Preparacion!A:B,2,0)</f>
        <v>JUEVES</v>
      </c>
      <c r="Q484" s="2"/>
    </row>
    <row r="485" spans="1:17" customFormat="1" x14ac:dyDescent="0.25">
      <c r="A485" s="2" t="s">
        <v>5337</v>
      </c>
      <c r="B485" s="2" t="s">
        <v>493</v>
      </c>
      <c r="C485" s="2" t="s">
        <v>494</v>
      </c>
      <c r="D485" s="2" t="s">
        <v>8</v>
      </c>
      <c r="E485" s="2" t="s">
        <v>5338</v>
      </c>
      <c r="F485" s="2"/>
      <c r="G485" s="2"/>
      <c r="H485" s="2"/>
      <c r="I485" s="2"/>
      <c r="J485" s="2"/>
      <c r="K485" s="2"/>
      <c r="L485" s="2"/>
      <c r="M485" s="2"/>
      <c r="N485" s="2"/>
      <c r="O485" s="2" t="s">
        <v>3068</v>
      </c>
      <c r="P485" s="2" t="str">
        <f>+VLOOKUP(Maestro_Clientes[[#This Row],[Entrega]],Preparacion!A:B,2,0)</f>
        <v>VIERNES</v>
      </c>
      <c r="Q485" s="2"/>
    </row>
    <row r="486" spans="1:17" customFormat="1" x14ac:dyDescent="0.25">
      <c r="A486" s="2" t="s">
        <v>1647</v>
      </c>
      <c r="B486" s="2" t="s">
        <v>1644</v>
      </c>
      <c r="C486" s="2" t="s">
        <v>1645</v>
      </c>
      <c r="D486" s="2" t="s">
        <v>8</v>
      </c>
      <c r="E486" s="2" t="s">
        <v>1646</v>
      </c>
      <c r="F486" s="2">
        <v>1001</v>
      </c>
      <c r="G486" s="2" t="s">
        <v>9</v>
      </c>
      <c r="H486" s="2" t="s">
        <v>60</v>
      </c>
      <c r="I486" s="2" t="s">
        <v>62</v>
      </c>
      <c r="J486" s="2" t="s">
        <v>2828</v>
      </c>
      <c r="K486" s="2" t="s">
        <v>63</v>
      </c>
      <c r="L486" s="2" t="s">
        <v>3068</v>
      </c>
      <c r="M486" s="2" t="s">
        <v>14</v>
      </c>
      <c r="N486" s="2" t="s">
        <v>15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65</v>
      </c>
      <c r="B487" s="2" t="s">
        <v>57</v>
      </c>
      <c r="C487" s="2" t="s">
        <v>58</v>
      </c>
      <c r="D487" s="2" t="s">
        <v>8</v>
      </c>
      <c r="E487" s="2" t="s">
        <v>61</v>
      </c>
      <c r="F487" s="2">
        <v>1014</v>
      </c>
      <c r="G487" s="2" t="s">
        <v>59</v>
      </c>
      <c r="H487" s="2" t="s">
        <v>60</v>
      </c>
      <c r="I487" s="2" t="s">
        <v>62</v>
      </c>
      <c r="J487" s="2" t="s">
        <v>2710</v>
      </c>
      <c r="K487" s="2" t="s">
        <v>63</v>
      </c>
      <c r="L487" s="2" t="s">
        <v>3068</v>
      </c>
      <c r="M487" s="2" t="s">
        <v>2706</v>
      </c>
      <c r="N487" s="2" t="s">
        <v>66</v>
      </c>
      <c r="O487" s="2" t="s">
        <v>3116</v>
      </c>
      <c r="P487" s="2" t="str">
        <f>+VLOOKUP(Maestro_Clientes[[#This Row],[Entrega]],Preparacion!A:B,2,0)</f>
        <v>LUNES</v>
      </c>
    </row>
    <row r="488" spans="1:17" customFormat="1" x14ac:dyDescent="0.25">
      <c r="A488" s="2" t="s">
        <v>3668</v>
      </c>
      <c r="B488" s="2" t="s">
        <v>3669</v>
      </c>
      <c r="C488" s="2" t="s">
        <v>3670</v>
      </c>
      <c r="D488" s="2" t="s">
        <v>8</v>
      </c>
      <c r="E488" s="2" t="s">
        <v>3671</v>
      </c>
      <c r="F488" s="2">
        <v>1025</v>
      </c>
      <c r="G488" s="2" t="s">
        <v>113</v>
      </c>
      <c r="H488" s="2" t="s">
        <v>3672</v>
      </c>
      <c r="I488" s="2" t="s">
        <v>3673</v>
      </c>
      <c r="J488" s="2" t="s">
        <v>3674</v>
      </c>
      <c r="K488" s="2" t="s">
        <v>237</v>
      </c>
      <c r="L488" s="2" t="s">
        <v>3176</v>
      </c>
      <c r="M488" s="2" t="s">
        <v>118</v>
      </c>
      <c r="N488" s="2" t="s">
        <v>119</v>
      </c>
      <c r="O488" s="2" t="str">
        <f>_xlfn.IFNA(+VLOOKUP(Maestro_Clientes[[#This Row],[Zona]],Tabla1[[#All],[Cruce Reportes]:[ENTREGA ]],2,0),Maestro_Clientes[[#This Row],[Zona]])</f>
        <v>Expreso</v>
      </c>
      <c r="P488" s="2" t="str">
        <f>+VLOOKUP(Maestro_Clientes[[#This Row],[Entrega]],Preparacion!A:B,2,0)</f>
        <v>Expreso</v>
      </c>
    </row>
    <row r="489" spans="1:17" customFormat="1" x14ac:dyDescent="0.25">
      <c r="A489" s="2" t="s">
        <v>2051</v>
      </c>
      <c r="B489" s="2" t="s">
        <v>2048</v>
      </c>
      <c r="C489" s="2" t="s">
        <v>2049</v>
      </c>
      <c r="D489" s="2" t="s">
        <v>8</v>
      </c>
      <c r="E489" s="2" t="s">
        <v>2050</v>
      </c>
      <c r="F489" s="2">
        <v>1034</v>
      </c>
      <c r="G489" s="2" t="s">
        <v>158</v>
      </c>
      <c r="H489" s="2" t="s">
        <v>1099</v>
      </c>
      <c r="I489" s="2" t="s">
        <v>1099</v>
      </c>
      <c r="J489" s="2" t="s">
        <v>2847</v>
      </c>
      <c r="K489" s="2" t="s">
        <v>12</v>
      </c>
      <c r="L489" s="2" t="s">
        <v>623</v>
      </c>
      <c r="M489" s="2" t="s">
        <v>2706</v>
      </c>
      <c r="N489" s="2" t="s">
        <v>163</v>
      </c>
      <c r="O489" s="2" t="str">
        <f>_xlfn.IFNA(+VLOOKUP(Maestro_Clientes[[#This Row],[Zona]],Tabla1[[#All],[Cruce Reportes]:[ENTREGA ]],2,0),Maestro_Clientes[[#This Row],[Zona]])</f>
        <v>LUNES</v>
      </c>
      <c r="P489" s="2" t="str">
        <f>+VLOOKUP(Maestro_Clientes[[#This Row],[Entrega]],Preparacion!A:B,2,0)</f>
        <v>JUEVES</v>
      </c>
      <c r="Q489" s="2"/>
    </row>
    <row r="490" spans="1:17" customFormat="1" x14ac:dyDescent="0.25">
      <c r="A490" s="2" t="s">
        <v>4486</v>
      </c>
      <c r="B490" s="2" t="s">
        <v>4023</v>
      </c>
      <c r="C490" s="2" t="s">
        <v>4024</v>
      </c>
      <c r="D490" s="2" t="s">
        <v>8</v>
      </c>
      <c r="E490" s="2" t="s">
        <v>4487</v>
      </c>
      <c r="F490" s="2">
        <v>1014</v>
      </c>
      <c r="G490" s="2" t="s">
        <v>59</v>
      </c>
      <c r="H490" s="2" t="s">
        <v>578</v>
      </c>
      <c r="I490" s="2" t="s">
        <v>578</v>
      </c>
      <c r="J490" s="2" t="s">
        <v>2788</v>
      </c>
      <c r="K490" s="2" t="s">
        <v>12</v>
      </c>
      <c r="L490" s="2" t="s">
        <v>3125</v>
      </c>
      <c r="M490" s="2" t="s">
        <v>2706</v>
      </c>
      <c r="N490" s="2" t="s">
        <v>66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4022</v>
      </c>
      <c r="B491" s="2" t="s">
        <v>4023</v>
      </c>
      <c r="C491" s="2" t="s">
        <v>4024</v>
      </c>
      <c r="D491" s="2" t="s">
        <v>8</v>
      </c>
      <c r="E491" s="2" t="s">
        <v>4025</v>
      </c>
      <c r="F491" s="2">
        <v>1002</v>
      </c>
      <c r="G491" s="2" t="s">
        <v>34</v>
      </c>
      <c r="H491" s="2" t="s">
        <v>404</v>
      </c>
      <c r="I491" s="2" t="s">
        <v>404</v>
      </c>
      <c r="J491" s="2" t="s">
        <v>2765</v>
      </c>
      <c r="K491" s="2" t="s">
        <v>12</v>
      </c>
      <c r="L491" s="2" t="s">
        <v>404</v>
      </c>
      <c r="M491" s="2" t="s">
        <v>39</v>
      </c>
      <c r="N491" s="2" t="s">
        <v>40</v>
      </c>
      <c r="O491" s="2" t="s">
        <v>3158</v>
      </c>
      <c r="P491" s="2" t="str">
        <f>+VLOOKUP(Maestro_Clientes[[#This Row],[Entrega]],Preparacion!A:B,2,0)</f>
        <v>MIERCOLES</v>
      </c>
    </row>
    <row r="492" spans="1:17" customFormat="1" x14ac:dyDescent="0.25">
      <c r="A492" s="2" t="s">
        <v>1154</v>
      </c>
      <c r="B492" s="2" t="s">
        <v>1150</v>
      </c>
      <c r="C492" s="2" t="s">
        <v>1151</v>
      </c>
      <c r="D492" s="2" t="s">
        <v>8</v>
      </c>
      <c r="E492" s="2" t="s">
        <v>1152</v>
      </c>
      <c r="F492" s="2">
        <v>1001</v>
      </c>
      <c r="G492" s="2" t="s">
        <v>9</v>
      </c>
      <c r="H492" s="2" t="s">
        <v>307</v>
      </c>
      <c r="I492" s="2" t="s">
        <v>1153</v>
      </c>
      <c r="J492" s="2" t="s">
        <v>2779</v>
      </c>
      <c r="K492" s="2" t="s">
        <v>310</v>
      </c>
      <c r="L492" s="2" t="s">
        <v>3176</v>
      </c>
      <c r="M492" s="2" t="s">
        <v>14</v>
      </c>
      <c r="N492" s="2" t="s">
        <v>15</v>
      </c>
      <c r="O492" s="2" t="s">
        <v>3116</v>
      </c>
      <c r="P492" s="2" t="str">
        <f>+VLOOKUP(Maestro_Clientes[[#This Row],[Entrega]],Preparacion!A:B,2,0)</f>
        <v>LUNES</v>
      </c>
    </row>
    <row r="493" spans="1:17" customFormat="1" x14ac:dyDescent="0.25">
      <c r="A493" s="2" t="s">
        <v>4470</v>
      </c>
      <c r="B493" s="2" t="s">
        <v>4471</v>
      </c>
      <c r="C493" s="2" t="s">
        <v>4472</v>
      </c>
      <c r="D493" s="2" t="s">
        <v>8</v>
      </c>
      <c r="E493" s="2" t="s">
        <v>4473</v>
      </c>
      <c r="F493" s="2">
        <v>1034</v>
      </c>
      <c r="G493" s="2" t="s">
        <v>158</v>
      </c>
      <c r="H493" s="2" t="s">
        <v>229</v>
      </c>
      <c r="I493" s="2" t="s">
        <v>247</v>
      </c>
      <c r="J493" s="2" t="s">
        <v>2741</v>
      </c>
      <c r="K493" s="2" t="s">
        <v>126</v>
      </c>
      <c r="L493" s="2" t="s">
        <v>3009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3681</v>
      </c>
      <c r="B494" s="2" t="s">
        <v>3682</v>
      </c>
      <c r="C494" s="2" t="s">
        <v>3683</v>
      </c>
      <c r="D494" s="2" t="s">
        <v>8</v>
      </c>
      <c r="E494" s="2" t="s">
        <v>3684</v>
      </c>
      <c r="F494" s="2">
        <v>1034</v>
      </c>
      <c r="G494" s="2" t="s">
        <v>158</v>
      </c>
      <c r="H494" s="2" t="s">
        <v>2226</v>
      </c>
      <c r="I494" s="2" t="s">
        <v>3685</v>
      </c>
      <c r="J494" s="2" t="s">
        <v>3686</v>
      </c>
      <c r="K494" s="2" t="s">
        <v>186</v>
      </c>
      <c r="L494" s="2" t="s">
        <v>3176</v>
      </c>
      <c r="M494" s="2" t="s">
        <v>2706</v>
      </c>
      <c r="N494" s="2" t="s">
        <v>163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754</v>
      </c>
      <c r="B495" s="2" t="s">
        <v>748</v>
      </c>
      <c r="C495" s="2" t="s">
        <v>749</v>
      </c>
      <c r="D495" s="2" t="s">
        <v>8</v>
      </c>
      <c r="E495" s="2" t="s">
        <v>751</v>
      </c>
      <c r="F495" s="2">
        <v>1002</v>
      </c>
      <c r="G495" s="2" t="s">
        <v>34</v>
      </c>
      <c r="H495" s="2" t="s">
        <v>750</v>
      </c>
      <c r="I495" s="2" t="s">
        <v>752</v>
      </c>
      <c r="J495" s="2" t="s">
        <v>2809</v>
      </c>
      <c r="K495" s="2" t="s">
        <v>753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customFormat="1" x14ac:dyDescent="0.25">
      <c r="A496" s="2" t="s">
        <v>2591</v>
      </c>
      <c r="B496" s="2" t="s">
        <v>2588</v>
      </c>
      <c r="C496" s="2" t="s">
        <v>2589</v>
      </c>
      <c r="D496" s="2" t="s">
        <v>8</v>
      </c>
      <c r="E496" s="2" t="s">
        <v>2590</v>
      </c>
      <c r="F496" s="2">
        <v>1002</v>
      </c>
      <c r="G496" s="2" t="s">
        <v>34</v>
      </c>
      <c r="H496" s="2" t="s">
        <v>195</v>
      </c>
      <c r="I496" s="2" t="s">
        <v>1750</v>
      </c>
      <c r="J496" s="2" t="s">
        <v>2915</v>
      </c>
      <c r="K496" s="2" t="s">
        <v>197</v>
      </c>
      <c r="L496" s="2" t="s">
        <v>3176</v>
      </c>
      <c r="M496" s="2" t="s">
        <v>39</v>
      </c>
      <c r="N496" s="2" t="s">
        <v>40</v>
      </c>
      <c r="O496" s="2" t="str">
        <f>_xlfn.IFNA(+VLOOKUP(Maestro_Clientes[[#This Row],[Zona]],Tabla1[[#All],[Cruce Reportes]:[ENTREGA ]],2,0),Maestro_Clientes[[#This Row],[Zona]])</f>
        <v>Expreso</v>
      </c>
      <c r="P496" s="2" t="str">
        <f>+VLOOKUP(Maestro_Clientes[[#This Row],[Entrega]],Preparacion!A:B,2,0)</f>
        <v>Expreso</v>
      </c>
    </row>
    <row r="497" spans="1:17" x14ac:dyDescent="0.25">
      <c r="A497" s="2" t="s">
        <v>416</v>
      </c>
      <c r="B497" s="2" t="s">
        <v>412</v>
      </c>
      <c r="C497" s="2" t="s">
        <v>413</v>
      </c>
      <c r="D497" s="2" t="s">
        <v>8</v>
      </c>
      <c r="E497" s="2" t="s">
        <v>415</v>
      </c>
      <c r="F497" s="2">
        <v>1002</v>
      </c>
      <c r="G497" s="2" t="s">
        <v>34</v>
      </c>
      <c r="H497" s="2" t="s">
        <v>414</v>
      </c>
      <c r="I497" s="2" t="s">
        <v>394</v>
      </c>
      <c r="J497" s="2" t="s">
        <v>2767</v>
      </c>
      <c r="K497" s="2" t="s">
        <v>12</v>
      </c>
      <c r="L497" s="2" t="s">
        <v>394</v>
      </c>
      <c r="M497" s="2" t="s">
        <v>39</v>
      </c>
      <c r="N497" s="2" t="s">
        <v>40</v>
      </c>
      <c r="O497" s="2" t="s">
        <v>3125</v>
      </c>
      <c r="P497" s="2" t="str">
        <f>+VLOOKUP(Maestro_Clientes[[#This Row],[Entrega]],Preparacion!A:B,2,0)</f>
        <v>MARTES</v>
      </c>
      <c r="Q497"/>
    </row>
    <row r="498" spans="1:17" customFormat="1" x14ac:dyDescent="0.25">
      <c r="A498" s="2" t="s">
        <v>3691</v>
      </c>
      <c r="B498" s="2" t="s">
        <v>3692</v>
      </c>
      <c r="C498" s="2" t="s">
        <v>3693</v>
      </c>
      <c r="D498" s="2" t="s">
        <v>8</v>
      </c>
      <c r="E498" s="2" t="s">
        <v>3694</v>
      </c>
      <c r="F498" s="2">
        <v>1034</v>
      </c>
      <c r="G498" s="2" t="s">
        <v>158</v>
      </c>
      <c r="H498" s="2" t="s">
        <v>184</v>
      </c>
      <c r="I498" s="2" t="s">
        <v>3695</v>
      </c>
      <c r="J498" s="2" t="s">
        <v>3696</v>
      </c>
      <c r="K498" s="2" t="s">
        <v>186</v>
      </c>
      <c r="L498" s="2" t="s">
        <v>3176</v>
      </c>
      <c r="M498" s="2" t="s">
        <v>2706</v>
      </c>
      <c r="N498" s="2" t="s">
        <v>163</v>
      </c>
      <c r="O498" s="2" t="str">
        <f>_xlfn.IFNA(+VLOOKUP(Maestro_Clientes[[#This Row],[Zona]],Tabla1[[#All],[Cruce Reportes]:[ENTREGA ]],2,0),Maestro_Clientes[[#This Row],[Zona]])</f>
        <v>Expreso</v>
      </c>
      <c r="P498" s="2" t="str">
        <f>+VLOOKUP(Maestro_Clientes[[#This Row],[Entrega]],Preparacion!A:B,2,0)</f>
        <v>Expreso</v>
      </c>
    </row>
    <row r="499" spans="1:17" x14ac:dyDescent="0.25">
      <c r="A499" s="2" t="s">
        <v>4996</v>
      </c>
      <c r="B499" s="2" t="s">
        <v>4995</v>
      </c>
      <c r="C499" s="2" t="s">
        <v>4997</v>
      </c>
      <c r="D499" s="2" t="s">
        <v>8</v>
      </c>
      <c r="O499" s="2" t="s">
        <v>3158</v>
      </c>
      <c r="P499" s="2" t="str">
        <f>+VLOOKUP(Maestro_Clientes[[#This Row],[Entrega]],Preparacion!A:B,2,0)</f>
        <v>MIERCOLES</v>
      </c>
      <c r="Q499"/>
    </row>
    <row r="500" spans="1:17" customFormat="1" x14ac:dyDescent="0.25">
      <c r="A500" s="2" t="s">
        <v>867</v>
      </c>
      <c r="B500" s="2" t="s">
        <v>864</v>
      </c>
      <c r="C500" s="2" t="s">
        <v>865</v>
      </c>
      <c r="D500" s="2" t="s">
        <v>8</v>
      </c>
      <c r="E500" s="2" t="s">
        <v>866</v>
      </c>
      <c r="F500" s="2">
        <v>0</v>
      </c>
      <c r="G500" s="2" t="s">
        <v>3176</v>
      </c>
      <c r="H500" s="2" t="s">
        <v>60</v>
      </c>
      <c r="I500" s="2" t="s">
        <v>62</v>
      </c>
      <c r="J500" s="2" t="s">
        <v>2822</v>
      </c>
      <c r="K500" s="2" t="s">
        <v>63</v>
      </c>
      <c r="L500" s="2" t="s">
        <v>3068</v>
      </c>
      <c r="M500" s="2" t="s">
        <v>2706</v>
      </c>
      <c r="N500" s="2" t="s">
        <v>2706</v>
      </c>
      <c r="O500" s="2" t="s">
        <v>3116</v>
      </c>
      <c r="P500" s="2" t="str">
        <f>+VLOOKUP(Maestro_Clientes[[#This Row],[Entrega]],Preparacion!A:B,2,0)</f>
        <v>LUNES</v>
      </c>
    </row>
    <row r="501" spans="1:17" customFormat="1" x14ac:dyDescent="0.25">
      <c r="A501" s="2" t="s">
        <v>244</v>
      </c>
      <c r="B501" s="2" t="s">
        <v>239</v>
      </c>
      <c r="C501" s="2" t="s">
        <v>240</v>
      </c>
      <c r="D501" s="2" t="s">
        <v>8</v>
      </c>
      <c r="E501" s="2" t="s">
        <v>242</v>
      </c>
      <c r="F501" s="2">
        <v>1002</v>
      </c>
      <c r="G501" s="2" t="s">
        <v>34</v>
      </c>
      <c r="H501" s="2" t="s">
        <v>241</v>
      </c>
      <c r="I501" s="2" t="s">
        <v>243</v>
      </c>
      <c r="J501" s="2" t="s">
        <v>2739</v>
      </c>
      <c r="K501" s="2" t="s">
        <v>243</v>
      </c>
      <c r="L501" s="2" t="s">
        <v>3176</v>
      </c>
      <c r="M501" s="2" t="s">
        <v>39</v>
      </c>
      <c r="N501" s="2" t="s">
        <v>40</v>
      </c>
      <c r="O501" s="2" t="str">
        <f>_xlfn.IFNA(+VLOOKUP(Maestro_Clientes[[#This Row],[Zona]],Tabla1[[#All],[Cruce Reportes]:[ENTREGA ]],2,0),Maestro_Clientes[[#This Row],[Zona]])</f>
        <v>Expreso</v>
      </c>
      <c r="P501" s="2" t="str">
        <f>+VLOOKUP(Maestro_Clientes[[#This Row],[Entrega]],Preparacion!A:B,2,0)</f>
        <v>Expreso</v>
      </c>
    </row>
    <row r="502" spans="1:17" customFormat="1" x14ac:dyDescent="0.25">
      <c r="A502" s="2" t="s">
        <v>4008</v>
      </c>
      <c r="B502" s="2" t="s">
        <v>4009</v>
      </c>
      <c r="C502" s="2" t="s">
        <v>4010</v>
      </c>
      <c r="D502" s="2" t="s">
        <v>8</v>
      </c>
      <c r="E502" s="2" t="s">
        <v>4011</v>
      </c>
      <c r="F502" s="2">
        <v>0</v>
      </c>
      <c r="G502" s="2" t="s">
        <v>3176</v>
      </c>
      <c r="H502" s="2" t="s">
        <v>1469</v>
      </c>
      <c r="I502" s="2" t="s">
        <v>4012</v>
      </c>
      <c r="J502" s="2" t="s">
        <v>2887</v>
      </c>
      <c r="K502" s="2" t="s">
        <v>12</v>
      </c>
      <c r="L502" s="2" t="s">
        <v>618</v>
      </c>
      <c r="M502" s="2" t="s">
        <v>2706</v>
      </c>
      <c r="N502" s="2" t="s">
        <v>2706</v>
      </c>
      <c r="O502" s="2" t="s">
        <v>3158</v>
      </c>
      <c r="P502" s="2" t="str">
        <f>+VLOOKUP(Maestro_Clientes[[#This Row],[Entrega]],Preparacion!A:B,2,0)</f>
        <v>MIERCOLES</v>
      </c>
    </row>
    <row r="503" spans="1:17" customFormat="1" x14ac:dyDescent="0.25">
      <c r="A503" s="2" t="s">
        <v>3430</v>
      </c>
      <c r="B503" s="2" t="s">
        <v>3431</v>
      </c>
      <c r="C503" s="2" t="s">
        <v>3432</v>
      </c>
      <c r="D503" s="2" t="s">
        <v>8</v>
      </c>
      <c r="E503" s="2" t="s">
        <v>3433</v>
      </c>
      <c r="F503" s="2">
        <v>1025</v>
      </c>
      <c r="G503" s="2" t="s">
        <v>113</v>
      </c>
      <c r="H503" s="2" t="s">
        <v>60</v>
      </c>
      <c r="I503" s="2" t="s">
        <v>63</v>
      </c>
      <c r="J503" s="2" t="s">
        <v>2711</v>
      </c>
      <c r="K503" s="2" t="s">
        <v>63</v>
      </c>
      <c r="L503" s="2" t="s">
        <v>3068</v>
      </c>
      <c r="M503" s="2" t="s">
        <v>118</v>
      </c>
      <c r="N503" s="2" t="s">
        <v>119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3434</v>
      </c>
      <c r="B504" s="2" t="s">
        <v>3435</v>
      </c>
      <c r="C504" s="2" t="s">
        <v>3436</v>
      </c>
      <c r="D504" s="2" t="s">
        <v>8</v>
      </c>
      <c r="E504" s="2" t="s">
        <v>3437</v>
      </c>
      <c r="F504" s="2">
        <v>0</v>
      </c>
      <c r="G504" s="2" t="s">
        <v>3176</v>
      </c>
      <c r="H504" s="2" t="s">
        <v>60</v>
      </c>
      <c r="I504" s="2" t="s">
        <v>62</v>
      </c>
      <c r="J504" s="2" t="s">
        <v>2822</v>
      </c>
      <c r="K504" s="2" t="s">
        <v>63</v>
      </c>
      <c r="L504" s="2" t="s">
        <v>3068</v>
      </c>
      <c r="M504" s="2" t="s">
        <v>2706</v>
      </c>
      <c r="N504" s="2" t="s">
        <v>2706</v>
      </c>
      <c r="O504" s="2" t="s">
        <v>3116</v>
      </c>
      <c r="P504" s="2" t="str">
        <f>+VLOOKUP(Maestro_Clientes[[#This Row],[Entrega]],Preparacion!A:B,2,0)</f>
        <v>LUNES</v>
      </c>
    </row>
    <row r="505" spans="1:17" customFormat="1" x14ac:dyDescent="0.25">
      <c r="A505" s="2" t="s">
        <v>1711</v>
      </c>
      <c r="B505" s="2" t="s">
        <v>1708</v>
      </c>
      <c r="C505" s="2" t="s">
        <v>1709</v>
      </c>
      <c r="D505" s="2" t="s">
        <v>8</v>
      </c>
      <c r="E505" s="2" t="s">
        <v>1710</v>
      </c>
      <c r="F505" s="2">
        <v>1001</v>
      </c>
      <c r="G505" s="2" t="s">
        <v>9</v>
      </c>
      <c r="H505" s="2" t="s">
        <v>643</v>
      </c>
      <c r="I505" s="2" t="s">
        <v>641</v>
      </c>
      <c r="J505" s="2" t="s">
        <v>2795</v>
      </c>
      <c r="K505" s="2" t="s">
        <v>12</v>
      </c>
      <c r="L505" s="2" t="s">
        <v>643</v>
      </c>
      <c r="M505" s="2" t="s">
        <v>14</v>
      </c>
      <c r="N505" s="2" t="s">
        <v>15</v>
      </c>
      <c r="O505" s="2" t="str">
        <f>_xlfn.IFNA(+VLOOKUP(Maestro_Clientes[[#This Row],[Zona]],Tabla1[[#All],[Cruce Reportes]:[ENTREGA ]],2,0),Maestro_Clientes[[#This Row],[Zona]])</f>
        <v>LUNES</v>
      </c>
      <c r="P505" s="2" t="str">
        <f>+VLOOKUP(Maestro_Clientes[[#This Row],[Entrega]],Preparacion!A:B,2,0)</f>
        <v>JUEVES</v>
      </c>
      <c r="Q505" s="2"/>
    </row>
    <row r="506" spans="1:17" x14ac:dyDescent="0.25">
      <c r="A506" s="2" t="s">
        <v>2622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  <c r="Q506"/>
    </row>
    <row r="507" spans="1:17" customFormat="1" x14ac:dyDescent="0.25">
      <c r="A507" s="2" t="s">
        <v>253</v>
      </c>
      <c r="B507" s="2" t="s">
        <v>249</v>
      </c>
      <c r="C507" s="2" t="s">
        <v>250</v>
      </c>
      <c r="D507" s="2" t="s">
        <v>8</v>
      </c>
      <c r="E507" s="2" t="s">
        <v>252</v>
      </c>
      <c r="F507" s="2">
        <v>1002</v>
      </c>
      <c r="G507" s="2" t="s">
        <v>34</v>
      </c>
      <c r="H507" s="2" t="s">
        <v>251</v>
      </c>
      <c r="I507" s="2" t="s">
        <v>251</v>
      </c>
      <c r="J507" s="2" t="s">
        <v>2742</v>
      </c>
      <c r="K507" s="2" t="s">
        <v>12</v>
      </c>
      <c r="L507" s="2" t="s">
        <v>3011</v>
      </c>
      <c r="M507" s="2" t="s">
        <v>39</v>
      </c>
      <c r="N507" s="2" t="s">
        <v>40</v>
      </c>
      <c r="O507" s="2" t="str">
        <f>_xlfn.IFNA(+VLOOKUP(Maestro_Clientes[[#This Row],[Zona]],Tabla1[[#All],[Cruce Reportes]:[ENTREGA ]],2,0),Maestro_Clientes[[#This Row],[Zona]])</f>
        <v>DIARIA</v>
      </c>
      <c r="P507" s="2" t="str">
        <f>+VLOOKUP(Maestro_Clientes[[#This Row],[Entrega]],Preparacion!A:B,2,0)</f>
        <v>DIARIA</v>
      </c>
    </row>
    <row r="508" spans="1:17" customFormat="1" x14ac:dyDescent="0.25">
      <c r="A508" s="2" t="s">
        <v>2469</v>
      </c>
      <c r="B508" s="2" t="s">
        <v>2466</v>
      </c>
      <c r="C508" s="2" t="s">
        <v>2467</v>
      </c>
      <c r="D508" s="2" t="s">
        <v>8</v>
      </c>
      <c r="E508" s="2" t="s">
        <v>2464</v>
      </c>
      <c r="F508" s="2">
        <v>1001</v>
      </c>
      <c r="G508" s="2" t="s">
        <v>9</v>
      </c>
      <c r="H508" s="2" t="s">
        <v>2468</v>
      </c>
      <c r="I508" s="2" t="s">
        <v>1575</v>
      </c>
      <c r="J508" s="2" t="s">
        <v>2896</v>
      </c>
      <c r="K508" s="2" t="s">
        <v>12</v>
      </c>
      <c r="L508" s="2" t="s">
        <v>20</v>
      </c>
      <c r="M508" s="2" t="s">
        <v>14</v>
      </c>
      <c r="N508" s="2" t="s">
        <v>15</v>
      </c>
      <c r="O508" s="2" t="str">
        <f>_xlfn.IFNA(+VLOOKUP(Maestro_Clientes[[#This Row],[Zona]],Tabla1[[#All],[Cruce Reportes]:[ENTREGA ]],2,0),Maestro_Clientes[[#This Row],[Zona]])</f>
        <v>MARTES</v>
      </c>
      <c r="P508" s="2" t="str">
        <f>+VLOOKUP(Maestro_Clientes[[#This Row],[Entrega]],Preparacion!A:B,2,0)</f>
        <v>VIERNES</v>
      </c>
    </row>
    <row r="509" spans="1:17" customFormat="1" x14ac:dyDescent="0.25">
      <c r="A509" s="2" t="s">
        <v>3687</v>
      </c>
      <c r="B509" s="2" t="s">
        <v>3688</v>
      </c>
      <c r="C509" s="2" t="s">
        <v>3689</v>
      </c>
      <c r="D509" s="2" t="s">
        <v>8</v>
      </c>
      <c r="E509" s="2" t="s">
        <v>3690</v>
      </c>
      <c r="F509" s="2">
        <v>1034</v>
      </c>
      <c r="G509" s="2" t="s">
        <v>158</v>
      </c>
      <c r="H509" s="2" t="s">
        <v>1137</v>
      </c>
      <c r="I509" s="2" t="s">
        <v>1050</v>
      </c>
      <c r="J509" s="2" t="s">
        <v>2843</v>
      </c>
      <c r="K509" s="2" t="s">
        <v>531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</row>
    <row r="510" spans="1:17" x14ac:dyDescent="0.25">
      <c r="A510" s="2" t="s">
        <v>650</v>
      </c>
      <c r="B510" s="2" t="s">
        <v>645</v>
      </c>
      <c r="C510" s="2" t="s">
        <v>646</v>
      </c>
      <c r="D510" s="2" t="s">
        <v>8</v>
      </c>
      <c r="E510" s="2" t="s">
        <v>648</v>
      </c>
      <c r="F510" s="2">
        <v>1034</v>
      </c>
      <c r="G510" s="2" t="s">
        <v>158</v>
      </c>
      <c r="H510" s="2" t="s">
        <v>647</v>
      </c>
      <c r="I510" s="2" t="s">
        <v>649</v>
      </c>
      <c r="J510" s="2" t="s">
        <v>2796</v>
      </c>
      <c r="K510" s="2" t="s">
        <v>12</v>
      </c>
      <c r="L510" s="2" t="s">
        <v>3176</v>
      </c>
      <c r="M510" s="2" t="s">
        <v>2706</v>
      </c>
      <c r="N510" s="2" t="s">
        <v>163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  <c r="Q510"/>
    </row>
    <row r="511" spans="1:17" customFormat="1" x14ac:dyDescent="0.25">
      <c r="A511" s="2" t="s">
        <v>4474</v>
      </c>
      <c r="B511" s="2" t="s">
        <v>4475</v>
      </c>
      <c r="C511" s="2" t="s">
        <v>4476</v>
      </c>
      <c r="D511" s="2" t="s">
        <v>8</v>
      </c>
      <c r="E511" s="2" t="s">
        <v>4477</v>
      </c>
      <c r="F511" s="2">
        <v>1002</v>
      </c>
      <c r="G511" s="2" t="s">
        <v>34</v>
      </c>
      <c r="H511" s="2" t="s">
        <v>144</v>
      </c>
      <c r="I511" s="2" t="s">
        <v>175</v>
      </c>
      <c r="J511" s="2" t="s">
        <v>2728</v>
      </c>
      <c r="K511" s="2" t="s">
        <v>147</v>
      </c>
      <c r="L511" s="2" t="s">
        <v>3009</v>
      </c>
      <c r="M511" s="2" t="s">
        <v>39</v>
      </c>
      <c r="N511" s="2" t="s">
        <v>40</v>
      </c>
      <c r="O511" s="2" t="str">
        <f>_xlfn.IFNA(+VLOOKUP(Maestro_Clientes[[#This Row],[Zona]],Tabla1[[#All],[Cruce Reportes]:[ENTREGA ]],2,0),Maestro_Clientes[[#This Row],[Zona]])</f>
        <v>EXPRESO</v>
      </c>
      <c r="P511" s="2" t="str">
        <f>+VLOOKUP(Maestro_Clientes[[#This Row],[Entrega]],Preparacion!A:B,2,0)</f>
        <v>Expreso</v>
      </c>
    </row>
    <row r="512" spans="1:17" customFormat="1" x14ac:dyDescent="0.25">
      <c r="A512" s="2" t="s">
        <v>4500</v>
      </c>
      <c r="B512" s="2" t="s">
        <v>4501</v>
      </c>
      <c r="C512" s="2" t="s">
        <v>4502</v>
      </c>
      <c r="D512" s="2" t="s">
        <v>8</v>
      </c>
      <c r="E512" s="2" t="s">
        <v>4503</v>
      </c>
      <c r="F512" s="2">
        <v>1034</v>
      </c>
      <c r="G512" s="2" t="s">
        <v>158</v>
      </c>
      <c r="H512" s="2" t="s">
        <v>4504</v>
      </c>
      <c r="I512" s="2" t="s">
        <v>75</v>
      </c>
      <c r="J512" s="2" t="s">
        <v>2712</v>
      </c>
      <c r="K512" s="2" t="s">
        <v>12</v>
      </c>
      <c r="L512" s="2" t="s">
        <v>3023</v>
      </c>
      <c r="M512" s="2" t="s">
        <v>2706</v>
      </c>
      <c r="N512" s="2" t="s">
        <v>163</v>
      </c>
      <c r="O512" s="2" t="str">
        <f>_xlfn.IFNA(+VLOOKUP(Maestro_Clientes[[#This Row],[Zona]],Tabla1[[#All],[Cruce Reportes]:[ENTREGA ]],2,0),Maestro_Clientes[[#This Row],[Zona]])</f>
        <v>LUNES</v>
      </c>
      <c r="P512" s="2" t="str">
        <f>+VLOOKUP(Maestro_Clientes[[#This Row],[Entrega]],Preparacion!A:B,2,0)</f>
        <v>JUEVES</v>
      </c>
      <c r="Q512" s="2"/>
    </row>
    <row r="513" spans="1:17" customFormat="1" x14ac:dyDescent="0.25">
      <c r="A513" s="2" t="s">
        <v>4493</v>
      </c>
      <c r="B513" s="2" t="s">
        <v>4494</v>
      </c>
      <c r="C513" s="2" t="s">
        <v>4495</v>
      </c>
      <c r="D513" s="2" t="s">
        <v>8</v>
      </c>
      <c r="E513" s="2" t="s">
        <v>4496</v>
      </c>
      <c r="F513" s="2">
        <v>1025</v>
      </c>
      <c r="G513" s="2" t="s">
        <v>113</v>
      </c>
      <c r="H513" s="2" t="s">
        <v>4497</v>
      </c>
      <c r="I513" s="2" t="s">
        <v>4498</v>
      </c>
      <c r="J513" s="2" t="s">
        <v>4499</v>
      </c>
      <c r="K513" s="2" t="s">
        <v>12</v>
      </c>
      <c r="L513" s="2" t="s">
        <v>3009</v>
      </c>
      <c r="M513" s="2" t="s">
        <v>118</v>
      </c>
      <c r="N513" s="2" t="s">
        <v>119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1764</v>
      </c>
      <c r="B514" s="2" t="s">
        <v>1760</v>
      </c>
      <c r="C514" s="2" t="s">
        <v>1761</v>
      </c>
      <c r="D514" s="2" t="s">
        <v>8</v>
      </c>
      <c r="E514" s="2" t="s">
        <v>1762</v>
      </c>
      <c r="F514" s="2">
        <v>1014</v>
      </c>
      <c r="G514" s="2" t="s">
        <v>59</v>
      </c>
      <c r="H514" s="2" t="s">
        <v>595</v>
      </c>
      <c r="I514" s="2" t="s">
        <v>1763</v>
      </c>
      <c r="J514" s="2" t="s">
        <v>2916</v>
      </c>
      <c r="K514" s="2" t="s">
        <v>126</v>
      </c>
      <c r="L514" s="2" t="s">
        <v>3176</v>
      </c>
      <c r="M514" s="2" t="s">
        <v>2706</v>
      </c>
      <c r="N514" s="2" t="s">
        <v>66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4467</v>
      </c>
      <c r="B515" s="2" t="s">
        <v>4468</v>
      </c>
      <c r="C515" s="2" t="s">
        <v>3588</v>
      </c>
      <c r="D515" s="2" t="s">
        <v>8</v>
      </c>
      <c r="E515" s="2" t="s">
        <v>4469</v>
      </c>
      <c r="F515" s="2">
        <v>1034</v>
      </c>
      <c r="G515" s="2" t="s">
        <v>158</v>
      </c>
      <c r="H515" s="2" t="s">
        <v>649</v>
      </c>
      <c r="I515" s="2" t="s">
        <v>649</v>
      </c>
      <c r="J515" s="2" t="s">
        <v>2796</v>
      </c>
      <c r="K515" s="2" t="s">
        <v>12</v>
      </c>
      <c r="L515" s="2" t="s">
        <v>3009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EXPRESO</v>
      </c>
      <c r="P515" s="2" t="str">
        <f>+VLOOKUP(Maestro_Clientes[[#This Row],[Entrega]],Preparacion!A:B,2,0)</f>
        <v>Expreso</v>
      </c>
    </row>
    <row r="516" spans="1:17" customFormat="1" x14ac:dyDescent="0.25">
      <c r="A516" s="2" t="s">
        <v>4488</v>
      </c>
      <c r="B516" s="2" t="s">
        <v>4489</v>
      </c>
      <c r="C516" s="2" t="s">
        <v>4490</v>
      </c>
      <c r="D516" s="2" t="s">
        <v>8</v>
      </c>
      <c r="E516" s="2" t="s">
        <v>4491</v>
      </c>
      <c r="F516" s="2">
        <v>1034</v>
      </c>
      <c r="G516" s="2" t="s">
        <v>158</v>
      </c>
      <c r="H516" s="2" t="s">
        <v>4492</v>
      </c>
      <c r="I516" s="2" t="s">
        <v>4492</v>
      </c>
      <c r="J516" s="2" t="s">
        <v>2986</v>
      </c>
      <c r="K516" s="2" t="s">
        <v>12</v>
      </c>
      <c r="L516" s="2" t="s">
        <v>3023</v>
      </c>
      <c r="M516" s="2" t="s">
        <v>2706</v>
      </c>
      <c r="N516" s="2" t="s">
        <v>163</v>
      </c>
      <c r="O516" s="2" t="str">
        <f>_xlfn.IFNA(+VLOOKUP(Maestro_Clientes[[#This Row],[Zona]],Tabla1[[#All],[Cruce Reportes]:[ENTREGA ]],2,0),Maestro_Clientes[[#This Row],[Zona]])</f>
        <v>LUNES</v>
      </c>
      <c r="P516" s="2" t="str">
        <f>+VLOOKUP(Maestro_Clientes[[#This Row],[Entrega]],Preparacion!A:B,2,0)</f>
        <v>JUEVES</v>
      </c>
      <c r="Q516" s="2"/>
    </row>
    <row r="517" spans="1:17" customFormat="1" x14ac:dyDescent="0.25">
      <c r="A517" s="2" t="s">
        <v>4714</v>
      </c>
      <c r="B517" s="2" t="s">
        <v>4715</v>
      </c>
      <c r="C517" s="2" t="s">
        <v>4716</v>
      </c>
      <c r="D517" s="2" t="s">
        <v>8</v>
      </c>
      <c r="E517" s="2" t="s">
        <v>4717</v>
      </c>
      <c r="F517" s="2">
        <v>0</v>
      </c>
      <c r="G517" s="2" t="s">
        <v>3176</v>
      </c>
      <c r="H517" s="2" t="s">
        <v>251</v>
      </c>
      <c r="I517" s="2" t="s">
        <v>251</v>
      </c>
      <c r="J517" s="2" t="s">
        <v>2742</v>
      </c>
      <c r="K517" s="2" t="s">
        <v>12</v>
      </c>
      <c r="L517" s="2" t="s">
        <v>3011</v>
      </c>
      <c r="M517" s="2" t="s">
        <v>2706</v>
      </c>
      <c r="N517" s="2" t="s">
        <v>2706</v>
      </c>
      <c r="O517" s="2" t="str">
        <f>_xlfn.IFNA(+VLOOKUP(Maestro_Clientes[[#This Row],[Zona]],Tabla1[[#All],[Cruce Reportes]:[ENTREGA ]],2,0),Maestro_Clientes[[#This Row],[Zona]])</f>
        <v>DIARIA</v>
      </c>
      <c r="P517" s="2" t="str">
        <f>+VLOOKUP(Maestro_Clientes[[#This Row],[Entrega]],Preparacion!A:B,2,0)</f>
        <v>DIARIA</v>
      </c>
    </row>
    <row r="518" spans="1:17" customFormat="1" x14ac:dyDescent="0.25">
      <c r="A518" s="2" t="s">
        <v>1866</v>
      </c>
      <c r="B518" s="2" t="s">
        <v>1863</v>
      </c>
      <c r="C518" s="2" t="s">
        <v>1864</v>
      </c>
      <c r="D518" s="2" t="s">
        <v>8</v>
      </c>
      <c r="E518" s="2" t="s">
        <v>1865</v>
      </c>
      <c r="F518" s="2">
        <v>1034</v>
      </c>
      <c r="G518" s="2" t="s">
        <v>158</v>
      </c>
      <c r="H518" s="2" t="s">
        <v>1365</v>
      </c>
      <c r="I518" s="2" t="s">
        <v>1365</v>
      </c>
      <c r="J518" s="2" t="s">
        <v>2875</v>
      </c>
      <c r="K518" s="2" t="s">
        <v>12</v>
      </c>
      <c r="L518" s="2" t="s">
        <v>3176</v>
      </c>
      <c r="M518" s="2" t="s">
        <v>2706</v>
      </c>
      <c r="N518" s="2" t="s">
        <v>163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2644</v>
      </c>
      <c r="B519" s="2" t="s">
        <v>177</v>
      </c>
      <c r="C519" s="2" t="s">
        <v>178</v>
      </c>
      <c r="D519" s="2" t="s">
        <v>8</v>
      </c>
      <c r="E519" s="2" t="s">
        <v>2643</v>
      </c>
      <c r="F519" s="2">
        <v>1025</v>
      </c>
      <c r="G519" s="2" t="s">
        <v>113</v>
      </c>
      <c r="H519" s="2" t="s">
        <v>1376</v>
      </c>
      <c r="I519" s="2" t="s">
        <v>1378</v>
      </c>
      <c r="J519" s="2" t="s">
        <v>2877</v>
      </c>
      <c r="K519" s="2" t="s">
        <v>169</v>
      </c>
      <c r="L519" s="2" t="s">
        <v>3176</v>
      </c>
      <c r="M519" s="2" t="s">
        <v>118</v>
      </c>
      <c r="N519" s="2" t="s">
        <v>119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181</v>
      </c>
      <c r="B520" s="2" t="s">
        <v>177</v>
      </c>
      <c r="C520" s="2" t="s">
        <v>178</v>
      </c>
      <c r="D520" s="2" t="s">
        <v>8</v>
      </c>
      <c r="E520" s="2" t="s">
        <v>180</v>
      </c>
      <c r="F520" s="2">
        <v>1014</v>
      </c>
      <c r="G520" s="2" t="s">
        <v>59</v>
      </c>
      <c r="H520" s="2" t="s">
        <v>179</v>
      </c>
      <c r="I520" s="2" t="s">
        <v>140</v>
      </c>
      <c r="J520" s="2" t="s">
        <v>2722</v>
      </c>
      <c r="K520" s="2" t="s">
        <v>140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1219</v>
      </c>
      <c r="B521" s="2" t="s">
        <v>1215</v>
      </c>
      <c r="C521" s="2" t="s">
        <v>1216</v>
      </c>
      <c r="D521" s="2" t="s">
        <v>8</v>
      </c>
      <c r="E521" s="2" t="s">
        <v>1218</v>
      </c>
      <c r="F521" s="2">
        <v>1014</v>
      </c>
      <c r="G521" s="2" t="s">
        <v>59</v>
      </c>
      <c r="H521" s="2" t="s">
        <v>1217</v>
      </c>
      <c r="I521" s="2" t="s">
        <v>1217</v>
      </c>
      <c r="J521" s="2" t="s">
        <v>2857</v>
      </c>
      <c r="K521" s="2" t="s">
        <v>12</v>
      </c>
      <c r="L521" s="2" t="s">
        <v>3176</v>
      </c>
      <c r="M521" s="2" t="s">
        <v>2706</v>
      </c>
      <c r="N521" s="2" t="s">
        <v>66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4454</v>
      </c>
      <c r="B522" s="2" t="s">
        <v>4455</v>
      </c>
      <c r="C522" s="2" t="s">
        <v>4456</v>
      </c>
      <c r="D522" s="2" t="s">
        <v>8</v>
      </c>
      <c r="E522" s="2" t="s">
        <v>4457</v>
      </c>
      <c r="F522" s="2">
        <v>1034</v>
      </c>
      <c r="G522" s="2" t="s">
        <v>158</v>
      </c>
      <c r="H522" s="2" t="s">
        <v>4458</v>
      </c>
      <c r="I522" s="2" t="s">
        <v>1683</v>
      </c>
      <c r="J522" s="2" t="s">
        <v>2905</v>
      </c>
      <c r="K522" s="2" t="s">
        <v>12</v>
      </c>
      <c r="L522" s="2" t="s">
        <v>3009</v>
      </c>
      <c r="M522" s="2" t="s">
        <v>2706</v>
      </c>
      <c r="N522" s="2" t="s">
        <v>163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3697</v>
      </c>
      <c r="B523" s="2" t="s">
        <v>3698</v>
      </c>
      <c r="C523" s="2" t="s">
        <v>3699</v>
      </c>
      <c r="D523" s="2" t="s">
        <v>8</v>
      </c>
      <c r="E523" s="2" t="s">
        <v>3565</v>
      </c>
      <c r="F523" s="2">
        <v>1028</v>
      </c>
      <c r="G523" s="2" t="s">
        <v>81</v>
      </c>
      <c r="H523" s="2" t="s">
        <v>229</v>
      </c>
      <c r="I523" s="2" t="s">
        <v>128</v>
      </c>
      <c r="J523" s="2" t="s">
        <v>2720</v>
      </c>
      <c r="K523" s="2" t="s">
        <v>126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2532</v>
      </c>
      <c r="B524" s="2" t="s">
        <v>2529</v>
      </c>
      <c r="C524" s="2" t="s">
        <v>2530</v>
      </c>
      <c r="D524" s="2" t="s">
        <v>8</v>
      </c>
      <c r="E524" s="2" t="s">
        <v>2531</v>
      </c>
      <c r="F524" s="2">
        <v>1028</v>
      </c>
      <c r="G524" s="2" t="s">
        <v>81</v>
      </c>
      <c r="H524" s="2" t="s">
        <v>144</v>
      </c>
      <c r="I524" s="2" t="s">
        <v>175</v>
      </c>
      <c r="J524" s="2" t="s">
        <v>2728</v>
      </c>
      <c r="K524" s="2" t="s">
        <v>147</v>
      </c>
      <c r="L524" s="2" t="s">
        <v>3176</v>
      </c>
      <c r="M524" s="2" t="s">
        <v>87</v>
      </c>
      <c r="N524" s="2" t="s">
        <v>88</v>
      </c>
      <c r="O524" s="2" t="str">
        <f>_xlfn.IFNA(+VLOOKUP(Maestro_Clientes[[#This Row],[Zona]],Tabla1[[#All],[Cruce Reportes]:[ENTREGA ]],2,0),Maestro_Clientes[[#This Row],[Zona]])</f>
        <v>Expreso</v>
      </c>
      <c r="P524" s="2" t="str">
        <f>+VLOOKUP(Maestro_Clientes[[#This Row],[Entrega]],Preparacion!A:B,2,0)</f>
        <v>Expreso</v>
      </c>
    </row>
    <row r="525" spans="1:17" customFormat="1" x14ac:dyDescent="0.25">
      <c r="A525" s="2" t="s">
        <v>1472</v>
      </c>
      <c r="B525" s="2" t="s">
        <v>1467</v>
      </c>
      <c r="C525" s="2" t="s">
        <v>1468</v>
      </c>
      <c r="D525" s="2" t="s">
        <v>8</v>
      </c>
      <c r="E525" s="2" t="s">
        <v>1470</v>
      </c>
      <c r="F525" s="2">
        <v>0</v>
      </c>
      <c r="G525" s="2" t="s">
        <v>3176</v>
      </c>
      <c r="H525" s="2" t="s">
        <v>1469</v>
      </c>
      <c r="I525" s="2" t="s">
        <v>1471</v>
      </c>
      <c r="J525" s="2" t="s">
        <v>2887</v>
      </c>
      <c r="K525" s="2" t="s">
        <v>12</v>
      </c>
      <c r="L525" s="2" t="s">
        <v>618</v>
      </c>
      <c r="M525" s="2" t="s">
        <v>2706</v>
      </c>
      <c r="N525" s="2" t="s">
        <v>2706</v>
      </c>
      <c r="O525" s="2" t="s">
        <v>3158</v>
      </c>
      <c r="P525" s="2" t="str">
        <f>+VLOOKUP(Maestro_Clientes[[#This Row],[Entrega]],Preparacion!A:B,2,0)</f>
        <v>MIERCOLES</v>
      </c>
    </row>
    <row r="526" spans="1:17" customFormat="1" x14ac:dyDescent="0.25">
      <c r="A526" s="2" t="s">
        <v>5125</v>
      </c>
      <c r="B526" s="2" t="s">
        <v>5130</v>
      </c>
      <c r="C526" s="2" t="s">
        <v>5134</v>
      </c>
      <c r="D526" s="2" t="s">
        <v>8</v>
      </c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 t="s">
        <v>3068</v>
      </c>
      <c r="P526" s="2" t="str">
        <f>+VLOOKUP(Maestro_Clientes[[#This Row],[Entrega]],Preparacion!A:B,2,0)</f>
        <v>VIERNES</v>
      </c>
    </row>
    <row r="527" spans="1:17" customFormat="1" x14ac:dyDescent="0.25">
      <c r="A527" s="2" t="s">
        <v>2186</v>
      </c>
      <c r="B527" s="2" t="s">
        <v>2182</v>
      </c>
      <c r="C527" s="2" t="s">
        <v>2183</v>
      </c>
      <c r="D527" s="2" t="s">
        <v>8</v>
      </c>
      <c r="E527" s="2" t="s">
        <v>2184</v>
      </c>
      <c r="F527" s="2">
        <v>1014</v>
      </c>
      <c r="G527" s="2" t="s">
        <v>59</v>
      </c>
      <c r="H527" s="2" t="s">
        <v>1437</v>
      </c>
      <c r="I527" s="2" t="s">
        <v>2185</v>
      </c>
      <c r="J527" s="2" t="s">
        <v>2954</v>
      </c>
      <c r="K527" s="2" t="s">
        <v>1307</v>
      </c>
      <c r="L527" s="2" t="s">
        <v>3176</v>
      </c>
      <c r="M527" s="2" t="s">
        <v>2706</v>
      </c>
      <c r="N527" s="2" t="s">
        <v>66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3675</v>
      </c>
      <c r="B528" s="2" t="s">
        <v>3676</v>
      </c>
      <c r="C528" s="2" t="s">
        <v>3677</v>
      </c>
      <c r="D528" s="2" t="s">
        <v>8</v>
      </c>
      <c r="E528" s="2" t="s">
        <v>3678</v>
      </c>
      <c r="F528" s="2">
        <v>1034</v>
      </c>
      <c r="G528" s="2" t="s">
        <v>158</v>
      </c>
      <c r="H528" s="2" t="s">
        <v>2226</v>
      </c>
      <c r="I528" s="2" t="s">
        <v>3679</v>
      </c>
      <c r="J528" s="2" t="s">
        <v>3680</v>
      </c>
      <c r="K528" s="2" t="s">
        <v>186</v>
      </c>
      <c r="L528" s="2" t="s">
        <v>3176</v>
      </c>
      <c r="M528" s="2" t="s">
        <v>2706</v>
      </c>
      <c r="N528" s="2" t="s">
        <v>163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4117</v>
      </c>
      <c r="B529" s="2" t="s">
        <v>4118</v>
      </c>
      <c r="C529" s="2" t="s">
        <v>4119</v>
      </c>
      <c r="D529" s="2" t="s">
        <v>8</v>
      </c>
      <c r="E529" s="2" t="s">
        <v>4120</v>
      </c>
      <c r="F529" s="2">
        <v>1028</v>
      </c>
      <c r="G529" s="2" t="s">
        <v>81</v>
      </c>
      <c r="H529" s="2" t="s">
        <v>1382</v>
      </c>
      <c r="I529" s="2" t="s">
        <v>1384</v>
      </c>
      <c r="J529" s="2" t="s">
        <v>2878</v>
      </c>
      <c r="K529" s="2" t="s">
        <v>12</v>
      </c>
      <c r="L529" s="2" t="s">
        <v>3176</v>
      </c>
      <c r="M529" s="2" t="s">
        <v>87</v>
      </c>
      <c r="N529" s="2" t="s">
        <v>88</v>
      </c>
      <c r="O529" s="2" t="str">
        <f>_xlfn.IFNA(+VLOOKUP(Maestro_Clientes[[#This Row],[Zona]],Tabla1[[#All],[Cruce Reportes]:[ENTREGA ]],2,0),Maestro_Clientes[[#This Row],[Zona]])</f>
        <v>Expreso</v>
      </c>
      <c r="P529" s="2" t="str">
        <f>+VLOOKUP(Maestro_Clientes[[#This Row],[Entrega]],Preparacion!A:B,2,0)</f>
        <v>Expreso</v>
      </c>
    </row>
    <row r="530" spans="1:17" customFormat="1" x14ac:dyDescent="0.25">
      <c r="A530" s="2" t="s">
        <v>4482</v>
      </c>
      <c r="B530" s="2" t="s">
        <v>3976</v>
      </c>
      <c r="C530" s="2" t="s">
        <v>3977</v>
      </c>
      <c r="D530" s="2" t="s">
        <v>8</v>
      </c>
      <c r="E530" s="2" t="s">
        <v>4483</v>
      </c>
      <c r="F530" s="2">
        <v>1001</v>
      </c>
      <c r="G530" s="2" t="s">
        <v>9</v>
      </c>
      <c r="H530" s="2" t="s">
        <v>20</v>
      </c>
      <c r="I530" s="2" t="s">
        <v>20</v>
      </c>
      <c r="J530" s="2" t="s">
        <v>2715</v>
      </c>
      <c r="K530" s="2" t="s">
        <v>12</v>
      </c>
      <c r="L530" s="2" t="s">
        <v>3068</v>
      </c>
      <c r="M530" s="2" t="s">
        <v>14</v>
      </c>
      <c r="N530" s="2" t="s">
        <v>15</v>
      </c>
      <c r="O530" s="2" t="str">
        <f>_xlfn.IFNA(+VLOOKUP(Maestro_Clientes[[#This Row],[Zona]],Tabla1[[#All],[Cruce Reportes]:[ENTREGA ]],2,0),Maestro_Clientes[[#This Row],[Zona]])</f>
        <v>MARTES</v>
      </c>
      <c r="P530" s="2" t="str">
        <f>+VLOOKUP(Maestro_Clientes[[#This Row],[Entrega]],Preparacion!A:B,2,0)</f>
        <v>VIERNES</v>
      </c>
    </row>
    <row r="531" spans="1:17" customFormat="1" x14ac:dyDescent="0.25">
      <c r="A531" s="2" t="s">
        <v>3975</v>
      </c>
      <c r="B531" s="2" t="s">
        <v>3976</v>
      </c>
      <c r="C531" s="2" t="s">
        <v>3977</v>
      </c>
      <c r="D531" s="2" t="s">
        <v>8</v>
      </c>
      <c r="E531" s="2" t="s">
        <v>3978</v>
      </c>
      <c r="F531" s="2">
        <v>1002</v>
      </c>
      <c r="G531" s="2" t="s">
        <v>34</v>
      </c>
      <c r="H531" s="2" t="s">
        <v>3979</v>
      </c>
      <c r="I531" s="2" t="s">
        <v>578</v>
      </c>
      <c r="J531" s="2" t="s">
        <v>2788</v>
      </c>
      <c r="K531" s="2" t="s">
        <v>12</v>
      </c>
      <c r="L531" s="2" t="s">
        <v>578</v>
      </c>
      <c r="M531" s="2" t="s">
        <v>39</v>
      </c>
      <c r="N531" s="2" t="s">
        <v>40</v>
      </c>
      <c r="O531" s="2" t="s">
        <v>3158</v>
      </c>
      <c r="P531" s="2" t="str">
        <f>+VLOOKUP(Maestro_Clientes[[#This Row],[Entrega]],Preparacion!A:B,2,0)</f>
        <v>MIERCOLES</v>
      </c>
    </row>
    <row r="532" spans="1:17" customFormat="1" x14ac:dyDescent="0.25">
      <c r="A532" s="2" t="s">
        <v>4484</v>
      </c>
      <c r="B532" s="2" t="s">
        <v>3976</v>
      </c>
      <c r="C532" s="2" t="s">
        <v>3977</v>
      </c>
      <c r="D532" s="2" t="s">
        <v>24</v>
      </c>
      <c r="E532" s="2" t="s">
        <v>4485</v>
      </c>
      <c r="F532" s="2">
        <v>0</v>
      </c>
      <c r="G532" s="2" t="s">
        <v>3176</v>
      </c>
      <c r="H532" s="2" t="s">
        <v>960</v>
      </c>
      <c r="I532" s="2" t="s">
        <v>960</v>
      </c>
      <c r="J532" s="2" t="s">
        <v>2715</v>
      </c>
      <c r="K532" s="2" t="s">
        <v>12</v>
      </c>
      <c r="L532" s="2" t="s">
        <v>3068</v>
      </c>
      <c r="M532" s="2" t="s">
        <v>2706</v>
      </c>
      <c r="N532" s="2" t="s">
        <v>2706</v>
      </c>
      <c r="O532" s="2" t="str">
        <f>_xlfn.IFNA(+VLOOKUP(Maestro_Clientes[[#This Row],[Zona]],Tabla1[[#All],[Cruce Reportes]:[ENTREGA ]],2,0),Maestro_Clientes[[#This Row],[Zona]])</f>
        <v>MARTES</v>
      </c>
      <c r="P532" s="2" t="str">
        <f>+VLOOKUP(Maestro_Clientes[[#This Row],[Entrega]],Preparacion!A:B,2,0)</f>
        <v>VIERNES</v>
      </c>
    </row>
    <row r="533" spans="1:17" customFormat="1" x14ac:dyDescent="0.25">
      <c r="A533" s="2" t="s">
        <v>2099</v>
      </c>
      <c r="B533" s="2" t="s">
        <v>2095</v>
      </c>
      <c r="C533" s="2" t="s">
        <v>2096</v>
      </c>
      <c r="D533" s="2" t="s">
        <v>8</v>
      </c>
      <c r="E533" s="2" t="s">
        <v>2097</v>
      </c>
      <c r="F533" s="2">
        <v>1014</v>
      </c>
      <c r="G533" s="2" t="s">
        <v>59</v>
      </c>
      <c r="H533" s="2" t="s">
        <v>757</v>
      </c>
      <c r="I533" s="2" t="s">
        <v>2098</v>
      </c>
      <c r="J533" s="2" t="s">
        <v>2947</v>
      </c>
      <c r="K533" s="2" t="s">
        <v>243</v>
      </c>
      <c r="L533" s="2" t="s">
        <v>3176</v>
      </c>
      <c r="M533" s="2" t="s">
        <v>2706</v>
      </c>
      <c r="N533" s="2" t="s">
        <v>66</v>
      </c>
      <c r="O533" s="2" t="str">
        <f>_xlfn.IFNA(+VLOOKUP(Maestro_Clientes[[#This Row],[Zona]],Tabla1[[#All],[Cruce Reportes]:[ENTREGA ]],2,0),Maestro_Clientes[[#This Row],[Zona]])</f>
        <v>Expreso</v>
      </c>
      <c r="P533" s="2" t="str">
        <f>+VLOOKUP(Maestro_Clientes[[#This Row],[Entrega]],Preparacion!A:B,2,0)</f>
        <v>Expreso</v>
      </c>
    </row>
    <row r="534" spans="1:17" customFormat="1" x14ac:dyDescent="0.25">
      <c r="A534" s="2" t="s">
        <v>4563</v>
      </c>
      <c r="B534" s="2" t="s">
        <v>1601</v>
      </c>
      <c r="C534" s="2" t="s">
        <v>1602</v>
      </c>
      <c r="D534" s="2" t="s">
        <v>8</v>
      </c>
      <c r="E534" s="2" t="s">
        <v>4564</v>
      </c>
      <c r="F534" s="2">
        <v>1014</v>
      </c>
      <c r="G534" s="2" t="s">
        <v>59</v>
      </c>
      <c r="H534" s="2" t="s">
        <v>4565</v>
      </c>
      <c r="I534" s="2" t="s">
        <v>63</v>
      </c>
      <c r="J534" s="2" t="s">
        <v>2828</v>
      </c>
      <c r="K534" s="2" t="s">
        <v>63</v>
      </c>
      <c r="L534" s="2" t="s">
        <v>3068</v>
      </c>
      <c r="M534" s="2" t="s">
        <v>2706</v>
      </c>
      <c r="N534" s="2" t="s">
        <v>66</v>
      </c>
      <c r="O534" s="2" t="s">
        <v>3116</v>
      </c>
      <c r="P534" s="2" t="str">
        <f>+VLOOKUP(Maestro_Clientes[[#This Row],[Entrega]],Preparacion!A:B,2,0)</f>
        <v>LUNES</v>
      </c>
    </row>
    <row r="535" spans="1:17" customFormat="1" x14ac:dyDescent="0.25">
      <c r="A535" s="2" t="s">
        <v>5076</v>
      </c>
      <c r="B535" s="2" t="s">
        <v>5074</v>
      </c>
      <c r="C535" s="2" t="s">
        <v>5075</v>
      </c>
      <c r="D535" s="2" t="s">
        <v>8</v>
      </c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 t="s">
        <v>3068</v>
      </c>
      <c r="P535" s="2" t="str">
        <f>+VLOOKUP(Maestro_Clientes[[#This Row],[Entrega]],Preparacion!A:B,2,0)</f>
        <v>VIERNES</v>
      </c>
    </row>
    <row r="536" spans="1:17" customFormat="1" x14ac:dyDescent="0.25">
      <c r="A536" s="2" t="s">
        <v>818</v>
      </c>
      <c r="B536" s="2" t="s">
        <v>814</v>
      </c>
      <c r="C536" s="2" t="s">
        <v>815</v>
      </c>
      <c r="D536" s="2" t="s">
        <v>8</v>
      </c>
      <c r="E536" s="2" t="s">
        <v>817</v>
      </c>
      <c r="F536" s="2">
        <v>1014</v>
      </c>
      <c r="G536" s="2" t="s">
        <v>59</v>
      </c>
      <c r="H536" s="2" t="s">
        <v>816</v>
      </c>
      <c r="I536" s="2" t="s">
        <v>506</v>
      </c>
      <c r="J536" s="2" t="s">
        <v>2776</v>
      </c>
      <c r="K536" s="2" t="s">
        <v>12</v>
      </c>
      <c r="L536" s="2" t="s">
        <v>3176</v>
      </c>
      <c r="M536" s="2" t="s">
        <v>2706</v>
      </c>
      <c r="N536" s="2" t="s">
        <v>66</v>
      </c>
      <c r="O536" s="2" t="str">
        <f>_xlfn.IFNA(+VLOOKUP(Maestro_Clientes[[#This Row],[Zona]],Tabla1[[#All],[Cruce Reportes]:[ENTREGA ]],2,0),Maestro_Clientes[[#This Row],[Zona]])</f>
        <v>Expreso</v>
      </c>
      <c r="P536" s="2" t="str">
        <f>+VLOOKUP(Maestro_Clientes[[#This Row],[Entrega]],Preparacion!A:B,2,0)</f>
        <v>Expreso</v>
      </c>
    </row>
    <row r="537" spans="1:17" customFormat="1" x14ac:dyDescent="0.25">
      <c r="A537" s="2" t="s">
        <v>5000</v>
      </c>
      <c r="B537" s="2" t="s">
        <v>4999</v>
      </c>
      <c r="C537" s="2" t="s">
        <v>5001</v>
      </c>
      <c r="D537" s="2" t="s">
        <v>8</v>
      </c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 t="s">
        <v>3176</v>
      </c>
      <c r="P537" s="2" t="str">
        <f>+VLOOKUP(Maestro_Clientes[[#This Row],[Entrega]],Preparacion!A:B,2,0)</f>
        <v>Expreso</v>
      </c>
    </row>
    <row r="538" spans="1:17" x14ac:dyDescent="0.25">
      <c r="A538" s="2" t="s">
        <v>1550</v>
      </c>
      <c r="B538" s="2" t="s">
        <v>1547</v>
      </c>
      <c r="C538" s="2" t="s">
        <v>1548</v>
      </c>
      <c r="D538" s="2" t="s">
        <v>8</v>
      </c>
      <c r="E538" s="2" t="s">
        <v>1549</v>
      </c>
      <c r="F538" s="2">
        <v>1002</v>
      </c>
      <c r="G538" s="2" t="s">
        <v>34</v>
      </c>
      <c r="H538" s="2" t="s">
        <v>229</v>
      </c>
      <c r="I538" s="2" t="s">
        <v>126</v>
      </c>
      <c r="J538" s="2" t="s">
        <v>2760</v>
      </c>
      <c r="K538" s="2" t="s">
        <v>126</v>
      </c>
      <c r="L538" s="2" t="s">
        <v>3176</v>
      </c>
      <c r="M538" s="2" t="s">
        <v>39</v>
      </c>
      <c r="N538" s="2" t="s">
        <v>40</v>
      </c>
      <c r="O538" s="2" t="str">
        <f>_xlfn.IFNA(+VLOOKUP(Maestro_Clientes[[#This Row],[Zona]],Tabla1[[#All],[Cruce Reportes]:[ENTREGA ]],2,0),Maestro_Clientes[[#This Row],[Zona]])</f>
        <v>Expreso</v>
      </c>
      <c r="P538" s="2" t="str">
        <f>+VLOOKUP(Maestro_Clientes[[#This Row],[Entrega]],Preparacion!A:B,2,0)</f>
        <v>Expreso</v>
      </c>
      <c r="Q538"/>
    </row>
    <row r="539" spans="1:17" customFormat="1" x14ac:dyDescent="0.25">
      <c r="A539" s="2" t="s">
        <v>5177</v>
      </c>
      <c r="B539" s="2" t="s">
        <v>5175</v>
      </c>
      <c r="C539" s="2" t="s">
        <v>5176</v>
      </c>
      <c r="D539" s="2" t="s">
        <v>8</v>
      </c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 t="s">
        <v>3068</v>
      </c>
      <c r="P539" s="2" t="str">
        <f>+VLOOKUP(Maestro_Clientes[[#This Row],[Entrega]],Preparacion!A:B,2,0)</f>
        <v>VIERNES</v>
      </c>
    </row>
    <row r="540" spans="1:17" customFormat="1" x14ac:dyDescent="0.25">
      <c r="A540" s="2" t="s">
        <v>4121</v>
      </c>
      <c r="B540" s="2" t="s">
        <v>4122</v>
      </c>
      <c r="C540" s="2" t="s">
        <v>4123</v>
      </c>
      <c r="D540" s="2" t="s">
        <v>8</v>
      </c>
      <c r="E540" s="2" t="s">
        <v>4124</v>
      </c>
      <c r="F540" s="2">
        <v>1028</v>
      </c>
      <c r="G540" s="2" t="s">
        <v>81</v>
      </c>
      <c r="H540" s="2" t="s">
        <v>506</v>
      </c>
      <c r="I540" s="2" t="s">
        <v>506</v>
      </c>
      <c r="J540" s="2" t="s">
        <v>2776</v>
      </c>
      <c r="K540" s="2" t="s">
        <v>12</v>
      </c>
      <c r="L540" s="2" t="s">
        <v>3176</v>
      </c>
      <c r="M540" s="2" t="s">
        <v>87</v>
      </c>
      <c r="N540" s="2" t="s">
        <v>88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742</v>
      </c>
      <c r="B541" s="2" t="s">
        <v>738</v>
      </c>
      <c r="C541" s="2" t="s">
        <v>739</v>
      </c>
      <c r="D541" s="2" t="s">
        <v>8</v>
      </c>
      <c r="E541" s="2" t="s">
        <v>741</v>
      </c>
      <c r="F541" s="2">
        <v>1034</v>
      </c>
      <c r="G541" s="2" t="s">
        <v>158</v>
      </c>
      <c r="H541" s="2" t="s">
        <v>740</v>
      </c>
      <c r="I541" s="2" t="s">
        <v>681</v>
      </c>
      <c r="J541" s="2" t="s">
        <v>2807</v>
      </c>
      <c r="K541" s="2" t="s">
        <v>681</v>
      </c>
      <c r="L541" s="2" t="s">
        <v>3176</v>
      </c>
      <c r="M541" s="2" t="s">
        <v>2706</v>
      </c>
      <c r="N541" s="2" t="s">
        <v>163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4530</v>
      </c>
      <c r="B542" s="2" t="s">
        <v>4531</v>
      </c>
      <c r="C542" s="2" t="s">
        <v>4532</v>
      </c>
      <c r="D542" s="2" t="s">
        <v>8</v>
      </c>
      <c r="E542" s="2" t="s">
        <v>4533</v>
      </c>
      <c r="F542" s="2">
        <v>1002</v>
      </c>
      <c r="G542" s="2" t="s">
        <v>34</v>
      </c>
      <c r="H542" s="2" t="s">
        <v>144</v>
      </c>
      <c r="I542" s="2" t="s">
        <v>3286</v>
      </c>
      <c r="J542" s="2" t="s">
        <v>2723</v>
      </c>
      <c r="K542" s="2" t="s">
        <v>147</v>
      </c>
      <c r="L542" s="2" t="s">
        <v>3009</v>
      </c>
      <c r="M542" s="2" t="s">
        <v>39</v>
      </c>
      <c r="N542" s="2" t="s">
        <v>40</v>
      </c>
      <c r="O542" s="2" t="str">
        <f>_xlfn.IFNA(+VLOOKUP(Maestro_Clientes[[#This Row],[Zona]],Tabla1[[#All],[Cruce Reportes]:[ENTREGA ]],2,0),Maestro_Clientes[[#This Row],[Zona]])</f>
        <v>EXPRESO</v>
      </c>
      <c r="P542" s="2" t="str">
        <f>+VLOOKUP(Maestro_Clientes[[#This Row],[Entrega]],Preparacion!A:B,2,0)</f>
        <v>Expreso</v>
      </c>
    </row>
    <row r="543" spans="1:17" customFormat="1" x14ac:dyDescent="0.25">
      <c r="A543" s="2" t="s">
        <v>4013</v>
      </c>
      <c r="B543" s="2" t="s">
        <v>4014</v>
      </c>
      <c r="C543" s="2" t="s">
        <v>4015</v>
      </c>
      <c r="D543" s="2" t="s">
        <v>8</v>
      </c>
      <c r="E543" s="2" t="s">
        <v>4016</v>
      </c>
      <c r="F543" s="2">
        <v>1025</v>
      </c>
      <c r="G543" s="2" t="s">
        <v>113</v>
      </c>
      <c r="H543" s="2" t="s">
        <v>618</v>
      </c>
      <c r="I543" s="2" t="s">
        <v>618</v>
      </c>
      <c r="J543" s="2" t="s">
        <v>4017</v>
      </c>
      <c r="K543" s="2" t="s">
        <v>12</v>
      </c>
      <c r="L543" s="2" t="s">
        <v>618</v>
      </c>
      <c r="M543" s="2" t="s">
        <v>118</v>
      </c>
      <c r="N543" s="2" t="s">
        <v>119</v>
      </c>
      <c r="O543" s="2" t="s">
        <v>3158</v>
      </c>
      <c r="P543" s="2" t="str">
        <f>+VLOOKUP(Maestro_Clientes[[#This Row],[Entrega]],Preparacion!A:B,2,0)</f>
        <v>MIERCOLES</v>
      </c>
    </row>
    <row r="544" spans="1:17" customFormat="1" x14ac:dyDescent="0.25">
      <c r="A544" s="2" t="s">
        <v>4515</v>
      </c>
      <c r="B544" s="2" t="s">
        <v>4516</v>
      </c>
      <c r="C544" s="2" t="s">
        <v>4517</v>
      </c>
      <c r="D544" s="2" t="s">
        <v>8</v>
      </c>
      <c r="E544" s="2" t="s">
        <v>4518</v>
      </c>
      <c r="F544" s="2">
        <v>1034</v>
      </c>
      <c r="G544" s="2" t="s">
        <v>158</v>
      </c>
      <c r="H544" s="2" t="s">
        <v>4519</v>
      </c>
      <c r="I544" s="2" t="s">
        <v>4520</v>
      </c>
      <c r="J544" s="2" t="s">
        <v>4521</v>
      </c>
      <c r="K544" s="2" t="s">
        <v>12</v>
      </c>
      <c r="L544" s="2" t="s">
        <v>3011</v>
      </c>
      <c r="M544" s="2" t="s">
        <v>2706</v>
      </c>
      <c r="N544" s="2" t="s">
        <v>163</v>
      </c>
      <c r="O544" s="2" t="str">
        <f>_xlfn.IFNA(+VLOOKUP(Maestro_Clientes[[#This Row],[Zona]],Tabla1[[#All],[Cruce Reportes]:[ENTREGA ]],2,0),Maestro_Clientes[[#This Row],[Zona]])</f>
        <v>DIARIA</v>
      </c>
      <c r="P544" s="2" t="str">
        <f>+VLOOKUP(Maestro_Clientes[[#This Row],[Entrega]],Preparacion!A:B,2,0)</f>
        <v>DIARIA</v>
      </c>
    </row>
    <row r="545" spans="1:17" x14ac:dyDescent="0.25">
      <c r="A545" s="2" t="s">
        <v>1225</v>
      </c>
      <c r="B545" s="2" t="s">
        <v>1220</v>
      </c>
      <c r="C545" s="2" t="s">
        <v>1221</v>
      </c>
      <c r="D545" s="2" t="s">
        <v>8</v>
      </c>
      <c r="E545" s="2" t="s">
        <v>1223</v>
      </c>
      <c r="F545" s="2">
        <v>1001</v>
      </c>
      <c r="G545" s="2" t="s">
        <v>9</v>
      </c>
      <c r="H545" s="2" t="s">
        <v>1222</v>
      </c>
      <c r="I545" s="2" t="s">
        <v>1224</v>
      </c>
      <c r="J545" s="2" t="s">
        <v>2858</v>
      </c>
      <c r="K545" s="2" t="s">
        <v>12</v>
      </c>
      <c r="L545" s="2" t="s">
        <v>3176</v>
      </c>
      <c r="M545" s="2" t="s">
        <v>14</v>
      </c>
      <c r="N545" s="2" t="s">
        <v>15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  <c r="Q545"/>
    </row>
    <row r="546" spans="1:17" customFormat="1" x14ac:dyDescent="0.25">
      <c r="A546" s="2" t="s">
        <v>1159</v>
      </c>
      <c r="B546" s="2" t="s">
        <v>1155</v>
      </c>
      <c r="C546" s="2" t="s">
        <v>1156</v>
      </c>
      <c r="D546" s="2" t="s">
        <v>8</v>
      </c>
      <c r="E546" s="2" t="s">
        <v>1158</v>
      </c>
      <c r="F546" s="2">
        <v>1034</v>
      </c>
      <c r="G546" s="2" t="s">
        <v>158</v>
      </c>
      <c r="H546" s="2" t="s">
        <v>1157</v>
      </c>
      <c r="I546" s="2" t="s">
        <v>175</v>
      </c>
      <c r="J546" s="2" t="s">
        <v>2728</v>
      </c>
      <c r="K546" s="2" t="s">
        <v>147</v>
      </c>
      <c r="L546" s="2" t="s">
        <v>3176</v>
      </c>
      <c r="M546" s="2" t="s">
        <v>2706</v>
      </c>
      <c r="N546" s="2" t="s">
        <v>163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187</v>
      </c>
      <c r="B547" s="2" t="s">
        <v>182</v>
      </c>
      <c r="C547" s="2" t="s">
        <v>183</v>
      </c>
      <c r="D547" s="2" t="s">
        <v>8</v>
      </c>
      <c r="E547" s="2" t="s">
        <v>185</v>
      </c>
      <c r="F547" s="2">
        <v>1014</v>
      </c>
      <c r="G547" s="2" t="s">
        <v>59</v>
      </c>
      <c r="H547" s="2" t="s">
        <v>184</v>
      </c>
      <c r="I547" s="2" t="s">
        <v>186</v>
      </c>
      <c r="J547" s="2" t="s">
        <v>2729</v>
      </c>
      <c r="K547" s="2" t="s">
        <v>186</v>
      </c>
      <c r="L547" s="2" t="s">
        <v>3176</v>
      </c>
      <c r="M547" s="2" t="s">
        <v>2706</v>
      </c>
      <c r="N547" s="2" t="s">
        <v>66</v>
      </c>
      <c r="O547" s="2" t="str">
        <f>_xlfn.IFNA(+VLOOKUP(Maestro_Clientes[[#This Row],[Zona]],Tabla1[[#All],[Cruce Reportes]:[ENTREGA ]],2,0),Maestro_Clientes[[#This Row],[Zona]])</f>
        <v>Expreso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5199</v>
      </c>
      <c r="B548" s="2" t="s">
        <v>5198</v>
      </c>
      <c r="C548" s="2" t="s">
        <v>5200</v>
      </c>
      <c r="D548" s="2" t="s">
        <v>8</v>
      </c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 t="s">
        <v>3176</v>
      </c>
      <c r="P548" s="2" t="str">
        <f>+VLOOKUP(Maestro_Clientes[[#This Row],[Entrega]],Preparacion!A:B,2,0)</f>
        <v>Expreso</v>
      </c>
    </row>
    <row r="549" spans="1:17" customFormat="1" x14ac:dyDescent="0.25">
      <c r="A549" s="2" t="s">
        <v>2379</v>
      </c>
      <c r="B549" s="2" t="s">
        <v>2375</v>
      </c>
      <c r="C549" s="2" t="s">
        <v>2376</v>
      </c>
      <c r="D549" s="2" t="s">
        <v>8</v>
      </c>
      <c r="E549" s="2" t="s">
        <v>2377</v>
      </c>
      <c r="F549" s="2">
        <v>1025</v>
      </c>
      <c r="G549" s="2" t="s">
        <v>113</v>
      </c>
      <c r="H549" s="2" t="s">
        <v>723</v>
      </c>
      <c r="I549" s="2" t="s">
        <v>2378</v>
      </c>
      <c r="J549" s="2" t="s">
        <v>2975</v>
      </c>
      <c r="K549" s="2" t="s">
        <v>518</v>
      </c>
      <c r="L549" s="2" t="s">
        <v>3176</v>
      </c>
      <c r="M549" s="2" t="s">
        <v>118</v>
      </c>
      <c r="N549" s="2" t="s">
        <v>119</v>
      </c>
      <c r="O549" s="2" t="str">
        <f>_xlfn.IFNA(+VLOOKUP(Maestro_Clientes[[#This Row],[Zona]],Tabla1[[#All],[Cruce Reportes]:[ENTREGA ]],2,0),Maestro_Clientes[[#This Row],[Zona]])</f>
        <v>Expreso</v>
      </c>
      <c r="P549" s="2" t="str">
        <f>+VLOOKUP(Maestro_Clientes[[#This Row],[Entrega]],Preparacion!A:B,2,0)</f>
        <v>Expreso</v>
      </c>
    </row>
    <row r="550" spans="1:17" x14ac:dyDescent="0.25">
      <c r="A550" s="2" t="s">
        <v>420</v>
      </c>
      <c r="B550" s="2" t="s">
        <v>417</v>
      </c>
      <c r="C550" s="2" t="s">
        <v>418</v>
      </c>
      <c r="D550" s="2" t="s">
        <v>8</v>
      </c>
      <c r="E550" s="2" t="s">
        <v>419</v>
      </c>
      <c r="F550" s="2">
        <v>1002</v>
      </c>
      <c r="G550" s="2" t="s">
        <v>34</v>
      </c>
      <c r="H550" s="2" t="s">
        <v>103</v>
      </c>
      <c r="I550" s="2" t="s">
        <v>103</v>
      </c>
      <c r="J550" s="2" t="s">
        <v>2716</v>
      </c>
      <c r="K550" s="2" t="s">
        <v>12</v>
      </c>
      <c r="L550" s="2" t="s">
        <v>104</v>
      </c>
      <c r="M550" s="2" t="s">
        <v>39</v>
      </c>
      <c r="N550" s="2" t="s">
        <v>40</v>
      </c>
      <c r="O550" s="2" t="s">
        <v>3158</v>
      </c>
      <c r="P550" s="2" t="str">
        <f>+VLOOKUP(Maestro_Clientes[[#This Row],[Entrega]],Preparacion!A:B,2,0)</f>
        <v>MIERCOLES</v>
      </c>
      <c r="Q550"/>
    </row>
    <row r="551" spans="1:17" customFormat="1" x14ac:dyDescent="0.25">
      <c r="A551" s="2" t="s">
        <v>2341</v>
      </c>
      <c r="B551" s="2" t="s">
        <v>417</v>
      </c>
      <c r="C551" s="2" t="s">
        <v>418</v>
      </c>
      <c r="D551" s="2" t="s">
        <v>8</v>
      </c>
      <c r="E551" s="2" t="s">
        <v>2340</v>
      </c>
      <c r="F551" s="2">
        <v>1003</v>
      </c>
      <c r="G551" s="2" t="s">
        <v>807</v>
      </c>
      <c r="H551" s="2" t="s">
        <v>2339</v>
      </c>
      <c r="I551" s="2" t="s">
        <v>2339</v>
      </c>
      <c r="J551" s="2" t="s">
        <v>2967</v>
      </c>
      <c r="K551" s="2" t="s">
        <v>12</v>
      </c>
      <c r="L551" s="2" t="s">
        <v>104</v>
      </c>
      <c r="M551" s="2" t="s">
        <v>812</v>
      </c>
      <c r="N551" s="2" t="s">
        <v>813</v>
      </c>
      <c r="O551" s="2" t="s">
        <v>3158</v>
      </c>
      <c r="P551" s="2" t="str">
        <f>+VLOOKUP(Maestro_Clientes[[#This Row],[Entrega]],Preparacion!A:B,2,0)</f>
        <v>MIERCOLES</v>
      </c>
    </row>
    <row r="552" spans="1:17" customFormat="1" x14ac:dyDescent="0.25">
      <c r="A552" s="2" t="s">
        <v>666</v>
      </c>
      <c r="B552" s="2" t="s">
        <v>663</v>
      </c>
      <c r="C552" s="2" t="s">
        <v>664</v>
      </c>
      <c r="D552" s="2" t="s">
        <v>8</v>
      </c>
      <c r="E552" s="2" t="s">
        <v>665</v>
      </c>
      <c r="F552" s="2">
        <v>1034</v>
      </c>
      <c r="G552" s="2" t="s">
        <v>158</v>
      </c>
      <c r="H552" s="2" t="s">
        <v>91</v>
      </c>
      <c r="I552" s="2" t="s">
        <v>91</v>
      </c>
      <c r="J552" s="2" t="s">
        <v>2714</v>
      </c>
      <c r="K552" s="2" t="s">
        <v>12</v>
      </c>
      <c r="L552" s="2" t="s">
        <v>85</v>
      </c>
      <c r="M552" s="2" t="s">
        <v>2706</v>
      </c>
      <c r="N552" s="2" t="s">
        <v>163</v>
      </c>
      <c r="O552" s="2" t="str">
        <f>_xlfn.IFNA(+VLOOKUP(Maestro_Clientes[[#This Row],[Zona]],Tabla1[[#All],[Cruce Reportes]:[ENTREGA ]],2,0),Maestro_Clientes[[#This Row],[Zona]])</f>
        <v>LUNES</v>
      </c>
      <c r="P552" s="2" t="str">
        <f>+VLOOKUP(Maestro_Clientes[[#This Row],[Entrega]],Preparacion!A:B,2,0)</f>
        <v>JUEVES</v>
      </c>
      <c r="Q552" s="2"/>
    </row>
    <row r="553" spans="1:17" customFormat="1" x14ac:dyDescent="0.25">
      <c r="A553" s="2" t="s">
        <v>1955</v>
      </c>
      <c r="B553" s="2" t="s">
        <v>1950</v>
      </c>
      <c r="C553" s="2" t="s">
        <v>1951</v>
      </c>
      <c r="D553" s="2" t="s">
        <v>8</v>
      </c>
      <c r="E553" s="2" t="s">
        <v>1953</v>
      </c>
      <c r="F553" s="2">
        <v>0</v>
      </c>
      <c r="G553" s="2" t="s">
        <v>3176</v>
      </c>
      <c r="H553" s="2" t="s">
        <v>1952</v>
      </c>
      <c r="I553" s="2" t="s">
        <v>1954</v>
      </c>
      <c r="J553" s="2" t="s">
        <v>2934</v>
      </c>
      <c r="K553" s="2" t="s">
        <v>12</v>
      </c>
      <c r="L553" s="2" t="s">
        <v>3176</v>
      </c>
      <c r="M553" s="2" t="s">
        <v>2706</v>
      </c>
      <c r="N553" s="2" t="s">
        <v>2706</v>
      </c>
      <c r="O553" s="2" t="str">
        <f>_xlfn.IFNA(+VLOOKUP(Maestro_Clientes[[#This Row],[Zona]],Tabla1[[#All],[Cruce Reportes]:[ENTREGA ]],2,0),Maestro_Clientes[[#This Row],[Zona]])</f>
        <v>Expreso</v>
      </c>
      <c r="P553" s="2" t="str">
        <f>+VLOOKUP(Maestro_Clientes[[#This Row],[Entrega]],Preparacion!A:B,2,0)</f>
        <v>Expreso</v>
      </c>
    </row>
    <row r="554" spans="1:17" customFormat="1" x14ac:dyDescent="0.25">
      <c r="A554" s="2" t="s">
        <v>2428</v>
      </c>
      <c r="B554" s="2" t="s">
        <v>2424</v>
      </c>
      <c r="C554" s="2" t="s">
        <v>2425</v>
      </c>
      <c r="D554" s="2" t="s">
        <v>8</v>
      </c>
      <c r="E554" s="2" t="s">
        <v>2427</v>
      </c>
      <c r="F554" s="2">
        <v>1025</v>
      </c>
      <c r="G554" s="2" t="s">
        <v>113</v>
      </c>
      <c r="H554" s="2" t="s">
        <v>2426</v>
      </c>
      <c r="I554" s="2" t="s">
        <v>62</v>
      </c>
      <c r="J554" s="2" t="s">
        <v>2831</v>
      </c>
      <c r="K554" s="2" t="s">
        <v>63</v>
      </c>
      <c r="L554" s="2" t="s">
        <v>3023</v>
      </c>
      <c r="M554" s="2" t="s">
        <v>118</v>
      </c>
      <c r="N554" s="2" t="s">
        <v>119</v>
      </c>
      <c r="O554" s="2" t="str">
        <f>_xlfn.IFNA(+VLOOKUP(Maestro_Clientes[[#This Row],[Zona]],Tabla1[[#All],[Cruce Reportes]:[ENTREGA ]],2,0),Maestro_Clientes[[#This Row],[Zona]])</f>
        <v>LUNES</v>
      </c>
      <c r="P554" s="2" t="str">
        <f>+VLOOKUP(Maestro_Clientes[[#This Row],[Entrega]],Preparacion!A:B,2,0)</f>
        <v>JUEVES</v>
      </c>
      <c r="Q554" s="2"/>
    </row>
    <row r="555" spans="1:17" customFormat="1" x14ac:dyDescent="0.25">
      <c r="A555" s="2" t="s">
        <v>4026</v>
      </c>
      <c r="B555" s="2" t="s">
        <v>4027</v>
      </c>
      <c r="C555" s="2" t="s">
        <v>4028</v>
      </c>
      <c r="D555" s="2" t="s">
        <v>8</v>
      </c>
      <c r="E555" s="2" t="s">
        <v>4029</v>
      </c>
      <c r="F555" s="2">
        <v>1028</v>
      </c>
      <c r="G555" s="2" t="s">
        <v>81</v>
      </c>
      <c r="H555" s="2" t="s">
        <v>404</v>
      </c>
      <c r="I555" s="2" t="s">
        <v>404</v>
      </c>
      <c r="J555" s="2" t="s">
        <v>2765</v>
      </c>
      <c r="K555" s="2" t="s">
        <v>12</v>
      </c>
      <c r="L555" s="2" t="s">
        <v>404</v>
      </c>
      <c r="M555" s="2" t="s">
        <v>87</v>
      </c>
      <c r="N555" s="2" t="s">
        <v>88</v>
      </c>
      <c r="O555" s="2" t="s">
        <v>3158</v>
      </c>
      <c r="P555" s="2" t="str">
        <f>+VLOOKUP(Maestro_Clientes[[#This Row],[Entrega]],Preparacion!A:B,2,0)</f>
        <v>MIERCOLES</v>
      </c>
    </row>
    <row r="556" spans="1:17" customFormat="1" x14ac:dyDescent="0.25">
      <c r="A556" s="2" t="s">
        <v>5111</v>
      </c>
      <c r="B556" s="2" t="s">
        <v>5110</v>
      </c>
      <c r="C556" s="2" t="s">
        <v>5112</v>
      </c>
      <c r="D556" s="2" t="s">
        <v>8</v>
      </c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 t="s">
        <v>3176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1164</v>
      </c>
      <c r="B557" s="2" t="s">
        <v>1160</v>
      </c>
      <c r="C557" s="2" t="s">
        <v>1161</v>
      </c>
      <c r="D557" s="2" t="s">
        <v>8</v>
      </c>
      <c r="E557" s="2" t="s">
        <v>1163</v>
      </c>
      <c r="F557" s="2">
        <v>1034</v>
      </c>
      <c r="G557" s="2" t="s">
        <v>158</v>
      </c>
      <c r="H557" s="2" t="s">
        <v>1162</v>
      </c>
      <c r="I557" s="2" t="s">
        <v>506</v>
      </c>
      <c r="J557" s="2" t="s">
        <v>2776</v>
      </c>
      <c r="K557" s="2" t="s">
        <v>12</v>
      </c>
      <c r="L557" s="2" t="s">
        <v>3176</v>
      </c>
      <c r="M557" s="2" t="s">
        <v>2706</v>
      </c>
      <c r="N557" s="2" t="s">
        <v>163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4526</v>
      </c>
      <c r="B558" s="2" t="s">
        <v>4527</v>
      </c>
      <c r="C558" s="2" t="s">
        <v>4528</v>
      </c>
      <c r="D558" s="2" t="s">
        <v>8</v>
      </c>
      <c r="E558" s="2" t="s">
        <v>4529</v>
      </c>
      <c r="F558" s="2">
        <v>1025</v>
      </c>
      <c r="G558" s="2" t="s">
        <v>113</v>
      </c>
      <c r="H558" s="2" t="s">
        <v>3511</v>
      </c>
      <c r="I558" s="2" t="s">
        <v>1129</v>
      </c>
      <c r="J558" s="2" t="s">
        <v>2849</v>
      </c>
      <c r="K558" s="2" t="s">
        <v>1129</v>
      </c>
      <c r="L558" s="2" t="s">
        <v>3009</v>
      </c>
      <c r="M558" s="2" t="s">
        <v>118</v>
      </c>
      <c r="N558" s="2" t="s">
        <v>119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3700</v>
      </c>
      <c r="B559" s="2" t="s">
        <v>3701</v>
      </c>
      <c r="C559" s="2" t="s">
        <v>3702</v>
      </c>
      <c r="D559" s="2" t="s">
        <v>8</v>
      </c>
      <c r="E559" s="2" t="s">
        <v>3703</v>
      </c>
      <c r="F559" s="2">
        <v>1002</v>
      </c>
      <c r="G559" s="2" t="s">
        <v>34</v>
      </c>
      <c r="H559" s="2" t="s">
        <v>3704</v>
      </c>
      <c r="I559" s="2" t="s">
        <v>551</v>
      </c>
      <c r="J559" s="2" t="s">
        <v>2785</v>
      </c>
      <c r="K559" s="2" t="s">
        <v>169</v>
      </c>
      <c r="L559" s="2" t="s">
        <v>3176</v>
      </c>
      <c r="M559" s="2" t="s">
        <v>39</v>
      </c>
      <c r="N559" s="2" t="s">
        <v>40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customFormat="1" x14ac:dyDescent="0.25">
      <c r="A560" s="2" t="s">
        <v>4542</v>
      </c>
      <c r="B560" s="2" t="s">
        <v>4543</v>
      </c>
      <c r="C560" s="2" t="s">
        <v>4544</v>
      </c>
      <c r="D560" s="2" t="s">
        <v>8</v>
      </c>
      <c r="E560" s="2" t="s">
        <v>4545</v>
      </c>
      <c r="F560" s="2">
        <v>1025</v>
      </c>
      <c r="G560" s="2" t="s">
        <v>113</v>
      </c>
      <c r="H560" s="2" t="s">
        <v>229</v>
      </c>
      <c r="I560" s="2" t="s">
        <v>4546</v>
      </c>
      <c r="J560" s="2" t="s">
        <v>4547</v>
      </c>
      <c r="K560" s="2" t="s">
        <v>126</v>
      </c>
      <c r="L560" s="2" t="s">
        <v>3009</v>
      </c>
      <c r="M560" s="2" t="s">
        <v>118</v>
      </c>
      <c r="N560" s="2" t="s">
        <v>119</v>
      </c>
      <c r="O560" s="2" t="str">
        <f>_xlfn.IFNA(+VLOOKUP(Maestro_Clientes[[#This Row],[Zona]],Tabla1[[#All],[Cruce Reportes]:[ENTREGA ]],2,0),Maestro_Clientes[[#This Row],[Zona]])</f>
        <v>EXPRESO</v>
      </c>
      <c r="P560" s="2" t="str">
        <f>+VLOOKUP(Maestro_Clientes[[#This Row],[Entrega]],Preparacion!A:B,2,0)</f>
        <v>Expreso</v>
      </c>
    </row>
    <row r="561" spans="1:17" x14ac:dyDescent="0.25">
      <c r="A561" s="2" t="s">
        <v>4983</v>
      </c>
      <c r="B561" s="2" t="s">
        <v>4982</v>
      </c>
      <c r="C561" s="2" t="s">
        <v>4984</v>
      </c>
      <c r="D561" s="2" t="s">
        <v>8</v>
      </c>
      <c r="O561" s="2" t="s">
        <v>3158</v>
      </c>
      <c r="P561" s="2" t="str">
        <f>+VLOOKUP(Maestro_Clientes[[#This Row],[Entrega]],Preparacion!A:B,2,0)</f>
        <v>MIERCOLES</v>
      </c>
      <c r="Q561"/>
    </row>
    <row r="562" spans="1:17" x14ac:dyDescent="0.25">
      <c r="A562" s="2" t="s">
        <v>1301</v>
      </c>
      <c r="B562" s="2" t="s">
        <v>1297</v>
      </c>
      <c r="C562" s="2" t="s">
        <v>1298</v>
      </c>
      <c r="D562" s="2" t="s">
        <v>8</v>
      </c>
      <c r="E562" s="2" t="s">
        <v>1299</v>
      </c>
      <c r="F562" s="2">
        <v>1001</v>
      </c>
      <c r="G562" s="2" t="s">
        <v>9</v>
      </c>
      <c r="H562" s="2" t="s">
        <v>229</v>
      </c>
      <c r="I562" s="2" t="s">
        <v>1300</v>
      </c>
      <c r="J562" s="2" t="s">
        <v>2867</v>
      </c>
      <c r="K562" s="2" t="s">
        <v>126</v>
      </c>
      <c r="L562" s="2" t="s">
        <v>3176</v>
      </c>
      <c r="M562" s="2" t="s">
        <v>14</v>
      </c>
      <c r="N562" s="2" t="s">
        <v>15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  <c r="Q562"/>
    </row>
    <row r="563" spans="1:17" customFormat="1" x14ac:dyDescent="0.25">
      <c r="A563" s="2" t="s">
        <v>4548</v>
      </c>
      <c r="B563" s="2" t="s">
        <v>4549</v>
      </c>
      <c r="C563" s="2" t="s">
        <v>4550</v>
      </c>
      <c r="D563" s="2" t="s">
        <v>8</v>
      </c>
      <c r="E563" s="2" t="s">
        <v>4551</v>
      </c>
      <c r="F563" s="2">
        <v>1014</v>
      </c>
      <c r="G563" s="2" t="s">
        <v>59</v>
      </c>
      <c r="H563" s="2" t="s">
        <v>4552</v>
      </c>
      <c r="I563" s="2" t="s">
        <v>719</v>
      </c>
      <c r="J563" s="2" t="s">
        <v>2804</v>
      </c>
      <c r="K563" s="2" t="s">
        <v>12</v>
      </c>
      <c r="L563" s="2" t="s">
        <v>3009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2118</v>
      </c>
      <c r="B564" s="2" t="s">
        <v>2114</v>
      </c>
      <c r="C564" s="2" t="s">
        <v>2115</v>
      </c>
      <c r="D564" s="2" t="s">
        <v>8</v>
      </c>
      <c r="E564" s="2" t="s">
        <v>2117</v>
      </c>
      <c r="F564" s="2">
        <v>1014</v>
      </c>
      <c r="G564" s="2" t="s">
        <v>59</v>
      </c>
      <c r="H564" s="2" t="s">
        <v>2116</v>
      </c>
      <c r="I564" s="2" t="s">
        <v>1808</v>
      </c>
      <c r="J564" s="2" t="s">
        <v>2919</v>
      </c>
      <c r="K564" s="2" t="s">
        <v>12</v>
      </c>
      <c r="L564" s="2" t="s">
        <v>3176</v>
      </c>
      <c r="M564" s="2" t="s">
        <v>2706</v>
      </c>
      <c r="N564" s="2" t="s">
        <v>66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4538</v>
      </c>
      <c r="B565" s="2" t="s">
        <v>4539</v>
      </c>
      <c r="C565" s="2" t="s">
        <v>4540</v>
      </c>
      <c r="D565" s="2" t="s">
        <v>8</v>
      </c>
      <c r="E565" s="2" t="s">
        <v>4541</v>
      </c>
      <c r="F565" s="2">
        <v>1025</v>
      </c>
      <c r="G565" s="2" t="s">
        <v>113</v>
      </c>
      <c r="H565" s="2" t="s">
        <v>140</v>
      </c>
      <c r="I565" s="2" t="s">
        <v>140</v>
      </c>
      <c r="J565" s="2" t="s">
        <v>2722</v>
      </c>
      <c r="K565" s="2" t="s">
        <v>140</v>
      </c>
      <c r="L565" s="2" t="s">
        <v>3009</v>
      </c>
      <c r="M565" s="2" t="s">
        <v>118</v>
      </c>
      <c r="N565" s="2" t="s">
        <v>119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3709</v>
      </c>
      <c r="B566" s="2" t="s">
        <v>3710</v>
      </c>
      <c r="C566" s="2" t="s">
        <v>3711</v>
      </c>
      <c r="D566" s="2" t="s">
        <v>8</v>
      </c>
      <c r="E566" s="2" t="s">
        <v>3712</v>
      </c>
      <c r="F566" s="2">
        <v>1034</v>
      </c>
      <c r="G566" s="2" t="s">
        <v>158</v>
      </c>
      <c r="H566" s="2" t="s">
        <v>195</v>
      </c>
      <c r="I566" s="2" t="s">
        <v>3713</v>
      </c>
      <c r="J566" s="2" t="s">
        <v>3714</v>
      </c>
      <c r="K566" s="2" t="s">
        <v>197</v>
      </c>
      <c r="L566" s="2" t="s">
        <v>3176</v>
      </c>
      <c r="M566" s="2" t="s">
        <v>2706</v>
      </c>
      <c r="N566" s="2" t="s">
        <v>163</v>
      </c>
      <c r="O566" s="2" t="str">
        <f>_xlfn.IFNA(+VLOOKUP(Maestro_Clientes[[#This Row],[Zona]],Tabla1[[#All],[Cruce Reportes]:[ENTREGA ]],2,0),Maestro_Clientes[[#This Row],[Zona]])</f>
        <v>Expreso</v>
      </c>
      <c r="P566" s="2" t="str">
        <f>+VLOOKUP(Maestro_Clientes[[#This Row],[Entrega]],Preparacion!A:B,2,0)</f>
        <v>Expreso</v>
      </c>
    </row>
    <row r="567" spans="1:17" customFormat="1" x14ac:dyDescent="0.25">
      <c r="A567" s="2" t="s">
        <v>5214</v>
      </c>
      <c r="B567" s="2" t="s">
        <v>5212</v>
      </c>
      <c r="C567" s="2" t="s">
        <v>5213</v>
      </c>
      <c r="D567" s="2" t="s">
        <v>8</v>
      </c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 t="s">
        <v>3125</v>
      </c>
      <c r="P567" s="2" t="str">
        <f>+VLOOKUP(Maestro_Clientes[[#This Row],[Entrega]],Preparacion!A:B,2,0)</f>
        <v>MARTES</v>
      </c>
    </row>
    <row r="568" spans="1:17" customFormat="1" x14ac:dyDescent="0.25">
      <c r="A568" s="2" t="s">
        <v>4505</v>
      </c>
      <c r="B568" s="2" t="s">
        <v>4506</v>
      </c>
      <c r="C568" s="2" t="s">
        <v>4507</v>
      </c>
      <c r="D568" s="2" t="s">
        <v>8</v>
      </c>
      <c r="E568" s="2" t="s">
        <v>4508</v>
      </c>
      <c r="F568" s="2">
        <v>1025</v>
      </c>
      <c r="G568" s="2" t="s">
        <v>113</v>
      </c>
      <c r="H568" s="2" t="s">
        <v>166</v>
      </c>
      <c r="I568" s="2" t="s">
        <v>4509</v>
      </c>
      <c r="J568" s="2" t="s">
        <v>4510</v>
      </c>
      <c r="K568" s="2" t="s">
        <v>169</v>
      </c>
      <c r="L568" s="2" t="s">
        <v>3009</v>
      </c>
      <c r="M568" s="2" t="s">
        <v>118</v>
      </c>
      <c r="N568" s="2" t="s">
        <v>119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1170</v>
      </c>
      <c r="B569" s="2" t="s">
        <v>1165</v>
      </c>
      <c r="C569" s="2" t="s">
        <v>1166</v>
      </c>
      <c r="D569" s="2" t="s">
        <v>8</v>
      </c>
      <c r="E569" s="2" t="s">
        <v>1168</v>
      </c>
      <c r="F569" s="2">
        <v>1034</v>
      </c>
      <c r="G569" s="2" t="s">
        <v>158</v>
      </c>
      <c r="H569" s="2" t="s">
        <v>1167</v>
      </c>
      <c r="I569" s="2" t="s">
        <v>1169</v>
      </c>
      <c r="J569" s="2" t="s">
        <v>2852</v>
      </c>
      <c r="K569" s="2" t="s">
        <v>12</v>
      </c>
      <c r="L569" s="2" t="s">
        <v>3176</v>
      </c>
      <c r="M569" s="2" t="s">
        <v>2706</v>
      </c>
      <c r="N569" s="2" t="s">
        <v>163</v>
      </c>
      <c r="O569" s="2" t="str">
        <f>_xlfn.IFNA(+VLOOKUP(Maestro_Clientes[[#This Row],[Zona]],Tabla1[[#All],[Cruce Reportes]:[ENTREGA ]],2,0),Maestro_Clientes[[#This Row],[Zona]])</f>
        <v>Expreso</v>
      </c>
      <c r="P569" s="2" t="str">
        <f>+VLOOKUP(Maestro_Clientes[[#This Row],[Entrega]],Preparacion!A:B,2,0)</f>
        <v>Expreso</v>
      </c>
    </row>
    <row r="570" spans="1:17" customFormat="1" x14ac:dyDescent="0.25">
      <c r="A570" s="2" t="s">
        <v>3438</v>
      </c>
      <c r="B570" s="2" t="s">
        <v>3439</v>
      </c>
      <c r="C570" s="2" t="s">
        <v>3440</v>
      </c>
      <c r="D570" s="2" t="s">
        <v>8</v>
      </c>
      <c r="E570" s="2" t="s">
        <v>3441</v>
      </c>
      <c r="F570" s="2">
        <v>1025</v>
      </c>
      <c r="G570" s="2" t="s">
        <v>113</v>
      </c>
      <c r="H570" s="2" t="s">
        <v>1285</v>
      </c>
      <c r="I570" s="2" t="s">
        <v>63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2659</v>
      </c>
      <c r="B571" s="2" t="s">
        <v>2656</v>
      </c>
      <c r="C571" s="2" t="s">
        <v>2657</v>
      </c>
      <c r="D571" s="2" t="s">
        <v>8</v>
      </c>
      <c r="E571" s="2" t="s">
        <v>2658</v>
      </c>
      <c r="F571" s="2">
        <v>1025</v>
      </c>
      <c r="G571" s="2" t="s">
        <v>113</v>
      </c>
      <c r="H571" s="2" t="s">
        <v>1285</v>
      </c>
      <c r="I571" s="2" t="s">
        <v>62</v>
      </c>
      <c r="J571" s="2" t="s">
        <v>2752</v>
      </c>
      <c r="K571" s="2" t="s">
        <v>63</v>
      </c>
      <c r="L571" s="2" t="s">
        <v>3023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LUNES</v>
      </c>
      <c r="P571" s="2" t="str">
        <f>+VLOOKUP(Maestro_Clientes[[#This Row],[Entrega]],Preparacion!A:B,2,0)</f>
        <v>JUEVES</v>
      </c>
      <c r="Q571" s="2"/>
    </row>
    <row r="572" spans="1:17" customFormat="1" x14ac:dyDescent="0.25">
      <c r="A572" s="2" t="s">
        <v>1872</v>
      </c>
      <c r="B572" s="2" t="s">
        <v>1867</v>
      </c>
      <c r="C572" s="2" t="s">
        <v>1868</v>
      </c>
      <c r="D572" s="2" t="s">
        <v>8</v>
      </c>
      <c r="E572" s="2" t="s">
        <v>1870</v>
      </c>
      <c r="F572" s="2">
        <v>1025</v>
      </c>
      <c r="G572" s="2" t="s">
        <v>113</v>
      </c>
      <c r="H572" s="2" t="s">
        <v>1869</v>
      </c>
      <c r="I572" s="2" t="s">
        <v>1871</v>
      </c>
      <c r="J572" s="2" t="s">
        <v>2924</v>
      </c>
      <c r="K572" s="2" t="s">
        <v>12</v>
      </c>
      <c r="L572" s="2" t="s">
        <v>3176</v>
      </c>
      <c r="M572" s="2" t="s">
        <v>118</v>
      </c>
      <c r="N572" s="2" t="s">
        <v>119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3705</v>
      </c>
      <c r="B573" s="2" t="s">
        <v>3706</v>
      </c>
      <c r="C573" s="2" t="s">
        <v>3707</v>
      </c>
      <c r="D573" s="2" t="s">
        <v>8</v>
      </c>
      <c r="E573" s="2" t="s">
        <v>3708</v>
      </c>
      <c r="F573" s="2">
        <v>1034</v>
      </c>
      <c r="G573" s="2" t="s">
        <v>158</v>
      </c>
      <c r="H573" s="2" t="s">
        <v>2179</v>
      </c>
      <c r="I573" s="2" t="s">
        <v>128</v>
      </c>
      <c r="J573" s="2" t="s">
        <v>2720</v>
      </c>
      <c r="K573" s="2" t="s">
        <v>126</v>
      </c>
      <c r="L573" s="2" t="s">
        <v>3176</v>
      </c>
      <c r="M573" s="2" t="s">
        <v>2706</v>
      </c>
      <c r="N573" s="2" t="s">
        <v>163</v>
      </c>
      <c r="O573" s="2" t="str">
        <f>_xlfn.IFNA(+VLOOKUP(Maestro_Clientes[[#This Row],[Zona]],Tabla1[[#All],[Cruce Reportes]:[ENTREGA ]],2,0),Maestro_Clientes[[#This Row],[Zona]])</f>
        <v>Expreso</v>
      </c>
      <c r="P573" s="2" t="str">
        <f>+VLOOKUP(Maestro_Clientes[[#This Row],[Entrega]],Preparacion!A:B,2,0)</f>
        <v>Expreso</v>
      </c>
    </row>
    <row r="574" spans="1:17" customFormat="1" x14ac:dyDescent="0.25">
      <c r="A574" s="2" t="s">
        <v>4411</v>
      </c>
      <c r="B574" s="2" t="s">
        <v>1702</v>
      </c>
      <c r="C574" s="2" t="s">
        <v>1703</v>
      </c>
      <c r="D574" s="2" t="s">
        <v>8</v>
      </c>
      <c r="E574" s="2" t="s">
        <v>4412</v>
      </c>
      <c r="F574" s="2">
        <v>1025</v>
      </c>
      <c r="G574" s="2" t="s">
        <v>113</v>
      </c>
      <c r="H574" s="2" t="s">
        <v>1285</v>
      </c>
      <c r="I574" s="2" t="s">
        <v>62</v>
      </c>
      <c r="J574" s="2" t="s">
        <v>2831</v>
      </c>
      <c r="K574" s="2" t="s">
        <v>63</v>
      </c>
      <c r="L574" s="2" t="s">
        <v>3023</v>
      </c>
      <c r="M574" s="2" t="s">
        <v>2706</v>
      </c>
      <c r="N574" s="2" t="s">
        <v>2706</v>
      </c>
      <c r="O574" s="2" t="str">
        <f>_xlfn.IFNA(+VLOOKUP(Maestro_Clientes[[#This Row],[Zona]],Tabla1[[#All],[Cruce Reportes]:[ENTREGA ]],2,0),Maestro_Clientes[[#This Row],[Zona]])</f>
        <v>LUNES</v>
      </c>
      <c r="P574" s="2" t="str">
        <f>+VLOOKUP(Maestro_Clientes[[#This Row],[Entrega]],Preparacion!A:B,2,0)</f>
        <v>JUEVES</v>
      </c>
      <c r="Q574" s="2"/>
    </row>
    <row r="575" spans="1:17" customFormat="1" x14ac:dyDescent="0.25">
      <c r="A575" s="2" t="s">
        <v>2310</v>
      </c>
      <c r="B575" s="2" t="s">
        <v>2306</v>
      </c>
      <c r="C575" s="2" t="s">
        <v>2307</v>
      </c>
      <c r="D575" s="2" t="s">
        <v>8</v>
      </c>
      <c r="E575" s="2" t="s">
        <v>2309</v>
      </c>
      <c r="F575" s="2">
        <v>1002</v>
      </c>
      <c r="G575" s="2" t="s">
        <v>34</v>
      </c>
      <c r="H575" s="2" t="s">
        <v>2308</v>
      </c>
      <c r="I575" s="2" t="s">
        <v>209</v>
      </c>
      <c r="J575" s="2" t="s">
        <v>2733</v>
      </c>
      <c r="K575" s="2" t="s">
        <v>12</v>
      </c>
      <c r="L575" s="2" t="s">
        <v>3176</v>
      </c>
      <c r="M575" s="2" t="s">
        <v>39</v>
      </c>
      <c r="N575" s="2" t="s">
        <v>40</v>
      </c>
      <c r="O575" s="2" t="str">
        <f>_xlfn.IFNA(+VLOOKUP(Maestro_Clientes[[#This Row],[Zona]],Tabla1[[#All],[Cruce Reportes]:[ENTREGA ]],2,0),Maestro_Clientes[[#This Row],[Zona]])</f>
        <v>Expreso</v>
      </c>
      <c r="P575" s="2" t="str">
        <f>+VLOOKUP(Maestro_Clientes[[#This Row],[Entrega]],Preparacion!A:B,2,0)</f>
        <v>Expreso</v>
      </c>
    </row>
    <row r="576" spans="1:17" customFormat="1" x14ac:dyDescent="0.25">
      <c r="A576" s="2" t="s">
        <v>635</v>
      </c>
      <c r="B576" s="2" t="s">
        <v>632</v>
      </c>
      <c r="C576" s="2" t="s">
        <v>633</v>
      </c>
      <c r="D576" s="2" t="s">
        <v>8</v>
      </c>
      <c r="E576" s="2" t="s">
        <v>634</v>
      </c>
      <c r="F576" s="2">
        <v>1001</v>
      </c>
      <c r="G576" s="2" t="s">
        <v>9</v>
      </c>
      <c r="H576" s="2" t="s">
        <v>10</v>
      </c>
      <c r="I576" s="2" t="s">
        <v>10</v>
      </c>
      <c r="J576" s="2" t="s">
        <v>2794</v>
      </c>
      <c r="K576" s="2" t="s">
        <v>12</v>
      </c>
      <c r="L576" s="2" t="s">
        <v>10</v>
      </c>
      <c r="M576" s="2" t="s">
        <v>14</v>
      </c>
      <c r="N576" s="2" t="s">
        <v>15</v>
      </c>
      <c r="O576" s="2" t="str">
        <f>_xlfn.IFNA(+VLOOKUP(Maestro_Clientes[[#This Row],[Zona]],Tabla1[[#All],[Cruce Reportes]:[ENTREGA ]],2,0),Maestro_Clientes[[#This Row],[Zona]])</f>
        <v>MARTES</v>
      </c>
      <c r="P576" s="2" t="str">
        <f>+VLOOKUP(Maestro_Clientes[[#This Row],[Entrega]],Preparacion!A:B,2,0)</f>
        <v>VIERNES</v>
      </c>
    </row>
    <row r="577" spans="1:17" x14ac:dyDescent="0.25">
      <c r="A577" s="2" t="s">
        <v>38</v>
      </c>
      <c r="B577" s="2" t="s">
        <v>32</v>
      </c>
      <c r="C577" s="2" t="s">
        <v>33</v>
      </c>
      <c r="D577" s="2" t="s">
        <v>8</v>
      </c>
      <c r="E577" s="2" t="s">
        <v>36</v>
      </c>
      <c r="F577" s="2">
        <v>1002</v>
      </c>
      <c r="G577" s="2" t="s">
        <v>34</v>
      </c>
      <c r="H577" s="2" t="s">
        <v>35</v>
      </c>
      <c r="I577" s="2" t="s">
        <v>37</v>
      </c>
      <c r="J577" s="2" t="s">
        <v>2705</v>
      </c>
      <c r="K577" s="2" t="s">
        <v>12</v>
      </c>
      <c r="L577" s="2" t="s">
        <v>37</v>
      </c>
      <c r="M577" s="2" t="s">
        <v>39</v>
      </c>
      <c r="N577" s="2" t="s">
        <v>40</v>
      </c>
      <c r="O577" s="2" t="s">
        <v>3116</v>
      </c>
      <c r="P577" s="2" t="str">
        <f>+VLOOKUP(Maestro_Clientes[[#This Row],[Entrega]],Preparacion!A:B,2,0)</f>
        <v>LUNES</v>
      </c>
      <c r="Q577"/>
    </row>
    <row r="578" spans="1:17" customFormat="1" x14ac:dyDescent="0.25">
      <c r="A578" s="2" t="s">
        <v>4056</v>
      </c>
      <c r="B578" s="2" t="s">
        <v>32</v>
      </c>
      <c r="C578" s="2" t="s">
        <v>33</v>
      </c>
      <c r="D578" s="2" t="s">
        <v>8</v>
      </c>
      <c r="E578" s="2" t="s">
        <v>4057</v>
      </c>
      <c r="F578" s="2">
        <v>1001</v>
      </c>
      <c r="G578" s="2" t="s">
        <v>9</v>
      </c>
      <c r="H578" s="2" t="s">
        <v>329</v>
      </c>
      <c r="I578" s="2" t="s">
        <v>329</v>
      </c>
      <c r="J578" s="2" t="s">
        <v>2754</v>
      </c>
      <c r="K578" s="2" t="s">
        <v>12</v>
      </c>
      <c r="L578" s="2" t="s">
        <v>329</v>
      </c>
      <c r="M578" s="2" t="s">
        <v>14</v>
      </c>
      <c r="N578" s="2" t="s">
        <v>15</v>
      </c>
      <c r="O578" s="2" t="str">
        <f>_xlfn.IFNA(+VLOOKUP(Maestro_Clientes[[#This Row],[Zona]],Tabla1[[#All],[Cruce Reportes]:[ENTREGA ]],2,0),Maestro_Clientes[[#This Row],[Zona]])</f>
        <v>MIERCOLES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5428</v>
      </c>
      <c r="B579" s="2" t="s">
        <v>32</v>
      </c>
      <c r="C579" s="2" t="s">
        <v>33</v>
      </c>
      <c r="D579" s="2" t="s">
        <v>8</v>
      </c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 t="s">
        <v>3116</v>
      </c>
      <c r="P579" s="2" t="str">
        <f>+VLOOKUP(Maestro_Clientes[[#This Row],[Entrega]],Preparacion!A:B,2,0)</f>
        <v>LUNES</v>
      </c>
    </row>
    <row r="580" spans="1:17" customFormat="1" x14ac:dyDescent="0.25">
      <c r="A580" s="2" t="s">
        <v>2384</v>
      </c>
      <c r="B580" s="2" t="s">
        <v>2380</v>
      </c>
      <c r="C580" s="2" t="s">
        <v>2381</v>
      </c>
      <c r="D580" s="2" t="s">
        <v>8</v>
      </c>
      <c r="E580" s="2" t="s">
        <v>2383</v>
      </c>
      <c r="F580" s="2">
        <v>1025</v>
      </c>
      <c r="G580" s="2" t="s">
        <v>113</v>
      </c>
      <c r="H580" s="2" t="s">
        <v>2382</v>
      </c>
      <c r="I580" s="2" t="s">
        <v>681</v>
      </c>
      <c r="J580" s="2" t="s">
        <v>2807</v>
      </c>
      <c r="K580" s="2" t="s">
        <v>681</v>
      </c>
      <c r="L580" s="2" t="s">
        <v>3176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4566</v>
      </c>
      <c r="B581" s="2" t="s">
        <v>4567</v>
      </c>
      <c r="C581" s="2" t="s">
        <v>4568</v>
      </c>
      <c r="D581" s="2" t="s">
        <v>8</v>
      </c>
      <c r="E581" s="2" t="s">
        <v>4569</v>
      </c>
      <c r="F581" s="2">
        <v>1025</v>
      </c>
      <c r="G581" s="2" t="s">
        <v>113</v>
      </c>
      <c r="H581" s="2" t="s">
        <v>4570</v>
      </c>
      <c r="I581" s="2" t="s">
        <v>2527</v>
      </c>
      <c r="J581" s="2" t="s">
        <v>2989</v>
      </c>
      <c r="K581" s="2" t="s">
        <v>12</v>
      </c>
      <c r="L581" s="2" t="s">
        <v>3009</v>
      </c>
      <c r="M581" s="2" t="s">
        <v>118</v>
      </c>
      <c r="N581" s="2" t="s">
        <v>119</v>
      </c>
      <c r="O581" s="2" t="str">
        <f>_xlfn.IFNA(+VLOOKUP(Maestro_Clientes[[#This Row],[Zona]],Tabla1[[#All],[Cruce Reportes]:[ENTREGA ]],2,0),Maestro_Clientes[[#This Row],[Zona]])</f>
        <v>EXPRESO</v>
      </c>
      <c r="P581" s="2" t="str">
        <f>+VLOOKUP(Maestro_Clientes[[#This Row],[Entrega]],Preparacion!A:B,2,0)</f>
        <v>Expreso</v>
      </c>
    </row>
    <row r="582" spans="1:17" customFormat="1" x14ac:dyDescent="0.25">
      <c r="A582" s="2" t="s">
        <v>1417</v>
      </c>
      <c r="B582" s="2" t="s">
        <v>1414</v>
      </c>
      <c r="C582" s="2" t="s">
        <v>1415</v>
      </c>
      <c r="D582" s="2" t="s">
        <v>8</v>
      </c>
      <c r="E582" s="2" t="s">
        <v>1416</v>
      </c>
      <c r="F582" s="2">
        <v>1001</v>
      </c>
      <c r="G582" s="2" t="s">
        <v>9</v>
      </c>
      <c r="H582" s="2" t="s">
        <v>1109</v>
      </c>
      <c r="I582" s="2" t="s">
        <v>1109</v>
      </c>
      <c r="J582" s="2" t="s">
        <v>2848</v>
      </c>
      <c r="K582" s="2" t="s">
        <v>12</v>
      </c>
      <c r="L582" s="2" t="s">
        <v>1109</v>
      </c>
      <c r="M582" s="2" t="s">
        <v>14</v>
      </c>
      <c r="N582" s="2" t="s">
        <v>15</v>
      </c>
      <c r="O582" s="2" t="str">
        <f>_xlfn.IFNA(+VLOOKUP(Maestro_Clientes[[#This Row],[Zona]],Tabla1[[#All],[Cruce Reportes]:[ENTREGA ]],2,0),Maestro_Clientes[[#This Row],[Zona]])</f>
        <v>MIERCOLES</v>
      </c>
      <c r="P582" s="2" t="str">
        <f>+VLOOKUP(Maestro_Clientes[[#This Row],[Entrega]],Preparacion!A:B,2,0)</f>
        <v>LUNES</v>
      </c>
    </row>
    <row r="583" spans="1:17" customFormat="1" x14ac:dyDescent="0.25">
      <c r="A583" s="2" t="s">
        <v>5089</v>
      </c>
      <c r="B583" s="2" t="s">
        <v>4577</v>
      </c>
      <c r="C583" s="2" t="s">
        <v>4578</v>
      </c>
      <c r="D583" s="2" t="s">
        <v>8</v>
      </c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 t="s">
        <v>3068</v>
      </c>
      <c r="P583" s="2" t="str">
        <f>+VLOOKUP(Maestro_Clientes[[#This Row],[Entrega]],Preparacion!A:B,2,0)</f>
        <v>VIERNES</v>
      </c>
      <c r="Q583" s="2"/>
    </row>
    <row r="584" spans="1:17" customFormat="1" x14ac:dyDescent="0.25">
      <c r="A584" s="2" t="s">
        <v>4576</v>
      </c>
      <c r="B584" s="2" t="s">
        <v>4577</v>
      </c>
      <c r="C584" s="2" t="s">
        <v>4578</v>
      </c>
      <c r="D584" s="2" t="s">
        <v>8</v>
      </c>
      <c r="E584" s="2" t="s">
        <v>4579</v>
      </c>
      <c r="F584" s="2">
        <v>1028</v>
      </c>
      <c r="G584" s="2" t="s">
        <v>81</v>
      </c>
      <c r="H584" s="2" t="s">
        <v>4580</v>
      </c>
      <c r="I584" s="2" t="s">
        <v>29</v>
      </c>
      <c r="J584" s="2" t="s">
        <v>2704</v>
      </c>
      <c r="K584" s="2" t="s">
        <v>12</v>
      </c>
      <c r="L584" s="2" t="s">
        <v>3068</v>
      </c>
      <c r="M584" s="2" t="s">
        <v>87</v>
      </c>
      <c r="N584" s="2" t="s">
        <v>88</v>
      </c>
      <c r="O584" s="2" t="str">
        <f>_xlfn.IFNA(+VLOOKUP(Maestro_Clientes[[#This Row],[Zona]],Tabla1[[#All],[Cruce Reportes]:[ENTREGA ]],2,0),Maestro_Clientes[[#This Row],[Zona]])</f>
        <v>MARTES</v>
      </c>
      <c r="P584" s="2" t="str">
        <f>+VLOOKUP(Maestro_Clientes[[#This Row],[Entrega]],Preparacion!A:B,2,0)</f>
        <v>VIERNES</v>
      </c>
    </row>
    <row r="585" spans="1:17" customFormat="1" x14ac:dyDescent="0.25">
      <c r="A585" s="2" t="s">
        <v>1287</v>
      </c>
      <c r="B585" s="2" t="s">
        <v>1283</v>
      </c>
      <c r="C585" s="2" t="s">
        <v>1284</v>
      </c>
      <c r="D585" s="2" t="s">
        <v>8</v>
      </c>
      <c r="E585" s="2" t="s">
        <v>1286</v>
      </c>
      <c r="F585" s="2">
        <v>1001</v>
      </c>
      <c r="G585" s="2" t="s">
        <v>9</v>
      </c>
      <c r="H585" s="2" t="s">
        <v>1285</v>
      </c>
      <c r="I585" s="2" t="s">
        <v>63</v>
      </c>
      <c r="J585" s="2" t="s">
        <v>2861</v>
      </c>
      <c r="K585" s="2" t="s">
        <v>63</v>
      </c>
      <c r="L585" s="2" t="s">
        <v>3023</v>
      </c>
      <c r="M585" s="2" t="s">
        <v>14</v>
      </c>
      <c r="N585" s="2" t="s">
        <v>15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3442</v>
      </c>
      <c r="B586" s="2" t="s">
        <v>3443</v>
      </c>
      <c r="C586" s="2" t="s">
        <v>3444</v>
      </c>
      <c r="D586" s="2" t="s">
        <v>8</v>
      </c>
      <c r="E586" s="2" t="s">
        <v>3445</v>
      </c>
      <c r="F586" s="2">
        <v>1034</v>
      </c>
      <c r="G586" s="2" t="s">
        <v>158</v>
      </c>
      <c r="H586" s="2" t="s">
        <v>1285</v>
      </c>
      <c r="I586" s="2" t="s">
        <v>63</v>
      </c>
      <c r="J586" s="2" t="s">
        <v>2752</v>
      </c>
      <c r="K586" s="2" t="s">
        <v>63</v>
      </c>
      <c r="L586" s="2" t="s">
        <v>3023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LUNES</v>
      </c>
      <c r="P586" s="2" t="str">
        <f>+VLOOKUP(Maestro_Clientes[[#This Row],[Entrega]],Preparacion!A:B,2,0)</f>
        <v>JUEVES</v>
      </c>
      <c r="Q586" s="2"/>
    </row>
    <row r="587" spans="1:17" customFormat="1" x14ac:dyDescent="0.25">
      <c r="A587" s="2" t="s">
        <v>4553</v>
      </c>
      <c r="B587" s="2" t="s">
        <v>4554</v>
      </c>
      <c r="C587" s="2" t="s">
        <v>4555</v>
      </c>
      <c r="D587" s="2" t="s">
        <v>8</v>
      </c>
      <c r="E587" s="2" t="s">
        <v>4556</v>
      </c>
      <c r="F587" s="2">
        <v>1034</v>
      </c>
      <c r="G587" s="2" t="s">
        <v>158</v>
      </c>
      <c r="H587" s="2" t="s">
        <v>173</v>
      </c>
      <c r="I587" s="2" t="s">
        <v>4557</v>
      </c>
      <c r="J587" s="2" t="s">
        <v>4558</v>
      </c>
      <c r="K587" s="2" t="s">
        <v>197</v>
      </c>
      <c r="L587" s="2" t="s">
        <v>3009</v>
      </c>
      <c r="M587" s="2" t="s">
        <v>2706</v>
      </c>
      <c r="N587" s="2" t="s">
        <v>163</v>
      </c>
      <c r="O587" s="2" t="str">
        <f>_xlfn.IFNA(+VLOOKUP(Maestro_Clientes[[#This Row],[Zona]],Tabla1[[#All],[Cruce Reportes]:[ENTREGA ]],2,0),Maestro_Clientes[[#This Row],[Zona]])</f>
        <v>EXPRESO</v>
      </c>
      <c r="P587" s="2" t="str">
        <f>+VLOOKUP(Maestro_Clientes[[#This Row],[Entrega]],Preparacion!A:B,2,0)</f>
        <v>Expreso</v>
      </c>
    </row>
    <row r="588" spans="1:17" customFormat="1" x14ac:dyDescent="0.25">
      <c r="A588" s="2" t="s">
        <v>1996</v>
      </c>
      <c r="B588" s="2" t="s">
        <v>1992</v>
      </c>
      <c r="C588" s="2" t="s">
        <v>1993</v>
      </c>
      <c r="D588" s="2" t="s">
        <v>8</v>
      </c>
      <c r="E588" s="2" t="s">
        <v>1995</v>
      </c>
      <c r="F588" s="2">
        <v>1002</v>
      </c>
      <c r="G588" s="2" t="s">
        <v>34</v>
      </c>
      <c r="H588" s="2" t="s">
        <v>1994</v>
      </c>
      <c r="I588" s="2" t="s">
        <v>489</v>
      </c>
      <c r="J588" s="2" t="s">
        <v>2775</v>
      </c>
      <c r="K588" s="2" t="s">
        <v>12</v>
      </c>
      <c r="L588" s="2" t="s">
        <v>394</v>
      </c>
      <c r="M588" s="2" t="s">
        <v>39</v>
      </c>
      <c r="N588" s="2" t="s">
        <v>40</v>
      </c>
      <c r="O588" s="2" t="s">
        <v>3125</v>
      </c>
      <c r="P588" s="2" t="str">
        <f>+VLOOKUP(Maestro_Clientes[[#This Row],[Entrega]],Preparacion!A:B,2,0)</f>
        <v>MARTES</v>
      </c>
    </row>
    <row r="589" spans="1:17" customFormat="1" x14ac:dyDescent="0.25">
      <c r="A589" s="2" t="s">
        <v>3715</v>
      </c>
      <c r="B589" s="2" t="s">
        <v>3716</v>
      </c>
      <c r="C589" s="2" t="s">
        <v>3717</v>
      </c>
      <c r="D589" s="2" t="s">
        <v>8</v>
      </c>
      <c r="E589" s="2" t="s">
        <v>3718</v>
      </c>
      <c r="F589" s="2">
        <v>1028</v>
      </c>
      <c r="G589" s="2" t="s">
        <v>81</v>
      </c>
      <c r="H589" s="2" t="s">
        <v>173</v>
      </c>
      <c r="I589" s="2" t="s">
        <v>3719</v>
      </c>
      <c r="J589" s="2" t="s">
        <v>3720</v>
      </c>
      <c r="K589" s="2" t="s">
        <v>126</v>
      </c>
      <c r="L589" s="2" t="s">
        <v>3176</v>
      </c>
      <c r="M589" s="2" t="s">
        <v>87</v>
      </c>
      <c r="N589" s="2" t="s">
        <v>88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2237</v>
      </c>
      <c r="B590" s="2" t="s">
        <v>2234</v>
      </c>
      <c r="C590" s="2" t="s">
        <v>2235</v>
      </c>
      <c r="D590" s="2" t="s">
        <v>8</v>
      </c>
      <c r="E590" s="2" t="s">
        <v>2236</v>
      </c>
      <c r="F590" s="2">
        <v>1014</v>
      </c>
      <c r="G590" s="2" t="s">
        <v>59</v>
      </c>
      <c r="H590" s="2" t="s">
        <v>229</v>
      </c>
      <c r="I590" s="2" t="s">
        <v>155</v>
      </c>
      <c r="J590" s="2" t="s">
        <v>2725</v>
      </c>
      <c r="K590" s="2" t="s">
        <v>126</v>
      </c>
      <c r="L590" s="2" t="s">
        <v>3176</v>
      </c>
      <c r="M590" s="2" t="s">
        <v>2706</v>
      </c>
      <c r="N590" s="2" t="s">
        <v>66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1271</v>
      </c>
      <c r="B591" s="2" t="s">
        <v>1266</v>
      </c>
      <c r="C591" s="2" t="s">
        <v>1267</v>
      </c>
      <c r="D591" s="2" t="s">
        <v>8</v>
      </c>
      <c r="E591" s="2" t="s">
        <v>1269</v>
      </c>
      <c r="F591" s="2">
        <v>1034</v>
      </c>
      <c r="G591" s="2" t="s">
        <v>158</v>
      </c>
      <c r="H591" s="2" t="s">
        <v>1268</v>
      </c>
      <c r="I591" s="2" t="s">
        <v>1270</v>
      </c>
      <c r="J591" s="2" t="s">
        <v>2727</v>
      </c>
      <c r="K591" s="2" t="s">
        <v>169</v>
      </c>
      <c r="L591" s="2" t="s">
        <v>3176</v>
      </c>
      <c r="M591" s="2" t="s">
        <v>2706</v>
      </c>
      <c r="N591" s="2" t="s">
        <v>163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3727</v>
      </c>
      <c r="B592" s="2" t="s">
        <v>3722</v>
      </c>
      <c r="C592" s="2" t="s">
        <v>3723</v>
      </c>
      <c r="D592" s="2" t="s">
        <v>8</v>
      </c>
      <c r="E592" s="2" t="s">
        <v>3728</v>
      </c>
      <c r="F592" s="2">
        <v>0</v>
      </c>
      <c r="G592" s="2" t="s">
        <v>3176</v>
      </c>
      <c r="H592" s="2" t="s">
        <v>3729</v>
      </c>
      <c r="I592" s="2" t="s">
        <v>3730</v>
      </c>
      <c r="J592" s="2" t="s">
        <v>3731</v>
      </c>
      <c r="K592" s="2" t="s">
        <v>1015</v>
      </c>
      <c r="L592" s="2" t="s">
        <v>3176</v>
      </c>
      <c r="M592" s="2" t="s">
        <v>2706</v>
      </c>
      <c r="N592" s="2" t="s">
        <v>2706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6" customFormat="1" x14ac:dyDescent="0.25">
      <c r="A593" s="2" t="s">
        <v>3721</v>
      </c>
      <c r="B593" s="2" t="s">
        <v>3722</v>
      </c>
      <c r="C593" s="2" t="s">
        <v>3723</v>
      </c>
      <c r="D593" s="2" t="s">
        <v>8</v>
      </c>
      <c r="E593" s="2" t="s">
        <v>3724</v>
      </c>
      <c r="F593" s="2">
        <v>1025</v>
      </c>
      <c r="G593" s="2" t="s">
        <v>113</v>
      </c>
      <c r="H593" s="2" t="s">
        <v>3725</v>
      </c>
      <c r="I593" s="2" t="s">
        <v>3726</v>
      </c>
      <c r="J593" s="2" t="s">
        <v>2838</v>
      </c>
      <c r="K593" s="2" t="s">
        <v>1015</v>
      </c>
      <c r="L593" s="2" t="s">
        <v>3176</v>
      </c>
      <c r="M593" s="2" t="s">
        <v>118</v>
      </c>
      <c r="N593" s="2" t="s">
        <v>119</v>
      </c>
      <c r="O593" s="2" t="str">
        <f>_xlfn.IFNA(+VLOOKUP(Maestro_Clientes[[#This Row],[Zona]],Tabla1[[#All],[Cruce Reportes]:[ENTREGA ]],2,0),Maestro_Clientes[[#This Row],[Zona]])</f>
        <v>Expreso</v>
      </c>
      <c r="P593" s="2" t="str">
        <f>+VLOOKUP(Maestro_Clientes[[#This Row],[Entrega]],Preparacion!A:B,2,0)</f>
        <v>Expreso</v>
      </c>
    </row>
    <row r="594" spans="1:16" customFormat="1" x14ac:dyDescent="0.25">
      <c r="A594" s="2" t="s">
        <v>2223</v>
      </c>
      <c r="B594" s="2" t="s">
        <v>2220</v>
      </c>
      <c r="C594" s="2" t="s">
        <v>2221</v>
      </c>
      <c r="D594" s="2" t="s">
        <v>8</v>
      </c>
      <c r="E594" s="2" t="s">
        <v>2222</v>
      </c>
      <c r="F594" s="2">
        <v>1001</v>
      </c>
      <c r="G594" s="2" t="s">
        <v>9</v>
      </c>
      <c r="H594" s="2" t="s">
        <v>54</v>
      </c>
      <c r="I594" s="2" t="s">
        <v>54</v>
      </c>
      <c r="J594" s="2" t="s">
        <v>2709</v>
      </c>
      <c r="K594" s="2" t="s">
        <v>12</v>
      </c>
      <c r="L594" s="2" t="s">
        <v>54</v>
      </c>
      <c r="M594" s="2" t="s">
        <v>14</v>
      </c>
      <c r="N594" s="2" t="s">
        <v>15</v>
      </c>
      <c r="O594" s="2" t="str">
        <f>_xlfn.IFNA(+VLOOKUP(Maestro_Clientes[[#This Row],[Zona]],Tabla1[[#All],[Cruce Reportes]:[ENTREGA ]],2,0),Maestro_Clientes[[#This Row],[Zona]])</f>
        <v>MIERCOLES</v>
      </c>
      <c r="P594" s="2" t="str">
        <f>+VLOOKUP(Maestro_Clientes[[#This Row],[Entrega]],Preparacion!A:B,2,0)</f>
        <v>LUNES</v>
      </c>
    </row>
    <row r="595" spans="1:16" customFormat="1" x14ac:dyDescent="0.25">
      <c r="A595" s="2" t="s">
        <v>5290</v>
      </c>
      <c r="B595" s="2" t="s">
        <v>604</v>
      </c>
      <c r="C595" s="2" t="s">
        <v>605</v>
      </c>
      <c r="D595" s="2" t="s">
        <v>8</v>
      </c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 t="s">
        <v>3176</v>
      </c>
      <c r="P595" s="2" t="str">
        <f>+VLOOKUP(Maestro_Clientes[[#This Row],[Entrega]],Preparacion!A:B,2,0)</f>
        <v>Expreso</v>
      </c>
    </row>
    <row r="596" spans="1:16" customFormat="1" x14ac:dyDescent="0.25">
      <c r="A596" s="2" t="s">
        <v>4571</v>
      </c>
      <c r="B596" s="2" t="s">
        <v>604</v>
      </c>
      <c r="C596" s="2" t="s">
        <v>605</v>
      </c>
      <c r="D596" s="2" t="s">
        <v>8</v>
      </c>
      <c r="E596" s="2" t="s">
        <v>4572</v>
      </c>
      <c r="F596" s="2">
        <v>1002</v>
      </c>
      <c r="G596" s="2" t="s">
        <v>34</v>
      </c>
      <c r="H596" s="2" t="s">
        <v>4573</v>
      </c>
      <c r="I596" s="2" t="s">
        <v>4574</v>
      </c>
      <c r="J596" s="2" t="s">
        <v>4575</v>
      </c>
      <c r="K596" s="2" t="s">
        <v>237</v>
      </c>
      <c r="L596" s="2" t="s">
        <v>3009</v>
      </c>
      <c r="M596" s="2" t="s">
        <v>39</v>
      </c>
      <c r="N596" s="2" t="s">
        <v>40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6" customFormat="1" x14ac:dyDescent="0.25">
      <c r="A597" s="2" t="s">
        <v>2625</v>
      </c>
      <c r="B597" s="2" t="s">
        <v>604</v>
      </c>
      <c r="C597" s="2" t="s">
        <v>605</v>
      </c>
      <c r="D597" s="2" t="s">
        <v>8</v>
      </c>
      <c r="E597" s="2" t="s">
        <v>2624</v>
      </c>
      <c r="F597" s="2">
        <v>1025</v>
      </c>
      <c r="G597" s="2" t="s">
        <v>113</v>
      </c>
      <c r="H597" s="2" t="s">
        <v>2623</v>
      </c>
      <c r="I597" s="2" t="s">
        <v>900</v>
      </c>
      <c r="J597" s="2" t="s">
        <v>2825</v>
      </c>
      <c r="K597" s="2" t="s">
        <v>126</v>
      </c>
      <c r="L597" s="2" t="s">
        <v>3176</v>
      </c>
      <c r="M597" s="2" t="s">
        <v>118</v>
      </c>
      <c r="N597" s="2" t="s">
        <v>119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6" customFormat="1" x14ac:dyDescent="0.25">
      <c r="A598" s="2" t="s">
        <v>1875</v>
      </c>
      <c r="B598" s="2" t="s">
        <v>604</v>
      </c>
      <c r="C598" s="2" t="s">
        <v>605</v>
      </c>
      <c r="D598" s="2" t="s">
        <v>8</v>
      </c>
      <c r="E598" s="2" t="s">
        <v>1874</v>
      </c>
      <c r="F598" s="2">
        <v>1002</v>
      </c>
      <c r="G598" s="2" t="s">
        <v>34</v>
      </c>
      <c r="H598" s="2" t="s">
        <v>1873</v>
      </c>
      <c r="I598" s="2" t="s">
        <v>539</v>
      </c>
      <c r="J598" s="2" t="s">
        <v>2925</v>
      </c>
      <c r="K598" s="2" t="s">
        <v>243</v>
      </c>
      <c r="L598" s="2" t="s">
        <v>3176</v>
      </c>
      <c r="M598" s="2" t="s">
        <v>39</v>
      </c>
      <c r="N598" s="2" t="s">
        <v>40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6" customFormat="1" x14ac:dyDescent="0.25">
      <c r="A599" s="2" t="s">
        <v>3735</v>
      </c>
      <c r="B599" s="2" t="s">
        <v>604</v>
      </c>
      <c r="C599" s="2" t="s">
        <v>605</v>
      </c>
      <c r="D599" s="2" t="s">
        <v>8</v>
      </c>
      <c r="E599" s="2" t="s">
        <v>3736</v>
      </c>
      <c r="F599" s="2">
        <v>1028</v>
      </c>
      <c r="G599" s="2" t="s">
        <v>81</v>
      </c>
      <c r="H599" s="2" t="s">
        <v>3737</v>
      </c>
      <c r="I599" s="2" t="s">
        <v>3738</v>
      </c>
      <c r="J599" s="2" t="s">
        <v>3739</v>
      </c>
      <c r="K599" s="2" t="s">
        <v>186</v>
      </c>
      <c r="L599" s="2" t="s">
        <v>3176</v>
      </c>
      <c r="M599" s="2" t="s">
        <v>87</v>
      </c>
      <c r="N599" s="2" t="s">
        <v>88</v>
      </c>
      <c r="O599" s="2" t="str">
        <f>_xlfn.IFNA(+VLOOKUP(Maestro_Clientes[[#This Row],[Zona]],Tabla1[[#All],[Cruce Reportes]:[ENTREGA ]],2,0),Maestro_Clientes[[#This Row],[Zona]])</f>
        <v>Expreso</v>
      </c>
      <c r="P599" s="2" t="str">
        <f>+VLOOKUP(Maestro_Clientes[[#This Row],[Entrega]],Preparacion!A:B,2,0)</f>
        <v>Expreso</v>
      </c>
    </row>
    <row r="600" spans="1:16" customFormat="1" x14ac:dyDescent="0.25">
      <c r="A600" s="2" t="s">
        <v>5223</v>
      </c>
      <c r="B600" s="2" t="s">
        <v>604</v>
      </c>
      <c r="C600" s="2" t="s">
        <v>605</v>
      </c>
      <c r="D600" s="2" t="s">
        <v>8</v>
      </c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 t="s">
        <v>3176</v>
      </c>
      <c r="P600" s="2" t="str">
        <f>+VLOOKUP(Maestro_Clientes[[#This Row],[Entrega]],Preparacion!A:B,2,0)</f>
        <v>Expreso</v>
      </c>
    </row>
    <row r="601" spans="1:16" customFormat="1" x14ac:dyDescent="0.25">
      <c r="A601" s="2" t="s">
        <v>3732</v>
      </c>
      <c r="B601" s="2" t="s">
        <v>604</v>
      </c>
      <c r="C601" s="2" t="s">
        <v>605</v>
      </c>
      <c r="D601" s="2" t="s">
        <v>8</v>
      </c>
      <c r="E601" s="2" t="s">
        <v>3733</v>
      </c>
      <c r="F601" s="2">
        <v>1028</v>
      </c>
      <c r="G601" s="2" t="s">
        <v>81</v>
      </c>
      <c r="H601" s="2" t="s">
        <v>3734</v>
      </c>
      <c r="I601" s="2" t="s">
        <v>126</v>
      </c>
      <c r="J601" s="2" t="s">
        <v>2760</v>
      </c>
      <c r="K601" s="2" t="s">
        <v>126</v>
      </c>
      <c r="L601" s="2" t="s">
        <v>3176</v>
      </c>
      <c r="M601" s="2" t="s">
        <v>87</v>
      </c>
      <c r="N601" s="2" t="s">
        <v>88</v>
      </c>
      <c r="O601" s="2" t="str">
        <f>_xlfn.IFNA(+VLOOKUP(Maestro_Clientes[[#This Row],[Zona]],Tabla1[[#All],[Cruce Reportes]:[ENTREGA ]],2,0),Maestro_Clientes[[#This Row],[Zona]])</f>
        <v>Expreso</v>
      </c>
      <c r="P601" s="2" t="str">
        <f>+VLOOKUP(Maestro_Clientes[[#This Row],[Entrega]],Preparacion!A:B,2,0)</f>
        <v>Expreso</v>
      </c>
    </row>
    <row r="602" spans="1:16" x14ac:dyDescent="0.25">
      <c r="A602" s="2" t="s">
        <v>5419</v>
      </c>
      <c r="B602" s="2" t="s">
        <v>604</v>
      </c>
      <c r="C602" s="2" t="s">
        <v>605</v>
      </c>
      <c r="D602" s="2" t="s">
        <v>8</v>
      </c>
      <c r="O602" s="2" t="s">
        <v>3176</v>
      </c>
      <c r="P602" s="2" t="s">
        <v>3176</v>
      </c>
    </row>
    <row r="603" spans="1:16" customFormat="1" x14ac:dyDescent="0.25">
      <c r="A603" s="2" t="s">
        <v>609</v>
      </c>
      <c r="B603" s="2" t="s">
        <v>604</v>
      </c>
      <c r="C603" s="2" t="s">
        <v>605</v>
      </c>
      <c r="D603" s="2" t="s">
        <v>8</v>
      </c>
      <c r="E603" s="2" t="s">
        <v>607</v>
      </c>
      <c r="F603" s="2">
        <v>1034</v>
      </c>
      <c r="G603" s="2" t="s">
        <v>158</v>
      </c>
      <c r="H603" s="2" t="s">
        <v>606</v>
      </c>
      <c r="I603" s="2" t="s">
        <v>608</v>
      </c>
      <c r="J603" s="2" t="s">
        <v>2790</v>
      </c>
      <c r="K603" s="2" t="s">
        <v>12</v>
      </c>
      <c r="L603" s="2" t="s">
        <v>3176</v>
      </c>
      <c r="M603" s="2" t="s">
        <v>2706</v>
      </c>
      <c r="N603" s="2" t="s">
        <v>163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6" customFormat="1" x14ac:dyDescent="0.25">
      <c r="A604" s="2" t="s">
        <v>613</v>
      </c>
      <c r="B604" s="2" t="s">
        <v>604</v>
      </c>
      <c r="C604" s="2" t="s">
        <v>605</v>
      </c>
      <c r="D604" s="2" t="s">
        <v>8</v>
      </c>
      <c r="E604" s="2" t="s">
        <v>611</v>
      </c>
      <c r="F604" s="2">
        <v>1014</v>
      </c>
      <c r="G604" s="2" t="s">
        <v>59</v>
      </c>
      <c r="H604" s="2" t="s">
        <v>610</v>
      </c>
      <c r="I604" s="2" t="s">
        <v>612</v>
      </c>
      <c r="J604" s="2" t="s">
        <v>2791</v>
      </c>
      <c r="K604" s="2" t="s">
        <v>126</v>
      </c>
      <c r="L604" s="2" t="s">
        <v>3176</v>
      </c>
      <c r="M604" s="2" t="s">
        <v>2706</v>
      </c>
      <c r="N604" s="2" t="s">
        <v>66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6" customFormat="1" x14ac:dyDescent="0.25">
      <c r="A605" s="2" t="s">
        <v>3740</v>
      </c>
      <c r="B605" s="2" t="s">
        <v>604</v>
      </c>
      <c r="C605" s="2" t="s">
        <v>605</v>
      </c>
      <c r="D605" s="2" t="s">
        <v>8</v>
      </c>
      <c r="E605" s="2" t="s">
        <v>3741</v>
      </c>
      <c r="F605" s="2">
        <v>0</v>
      </c>
      <c r="G605" s="2" t="s">
        <v>3176</v>
      </c>
      <c r="H605" s="2" t="s">
        <v>3742</v>
      </c>
      <c r="I605" s="2" t="s">
        <v>1323</v>
      </c>
      <c r="J605" s="2" t="s">
        <v>3743</v>
      </c>
      <c r="K605" s="2" t="s">
        <v>243</v>
      </c>
      <c r="L605" s="2" t="s">
        <v>3176</v>
      </c>
      <c r="M605" s="2" t="s">
        <v>2706</v>
      </c>
      <c r="N605" s="2" t="s">
        <v>2706</v>
      </c>
      <c r="O605" s="2" t="str">
        <f>_xlfn.IFNA(+VLOOKUP(Maestro_Clientes[[#This Row],[Zona]],Tabla1[[#All],[Cruce Reportes]:[ENTREGA ]],2,0),Maestro_Clientes[[#This Row],[Zona]])</f>
        <v>Expreso</v>
      </c>
      <c r="P605" s="2" t="str">
        <f>+VLOOKUP(Maestro_Clientes[[#This Row],[Entrega]],Preparacion!A:B,2,0)</f>
        <v>Expreso</v>
      </c>
    </row>
    <row r="606" spans="1:16" customFormat="1" x14ac:dyDescent="0.25">
      <c r="A606" s="2" t="s">
        <v>4947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6" customFormat="1" x14ac:dyDescent="0.25">
      <c r="A607" s="2" t="s">
        <v>4958</v>
      </c>
      <c r="B607" s="2" t="s">
        <v>604</v>
      </c>
      <c r="C607" s="2" t="s">
        <v>605</v>
      </c>
      <c r="D607" s="2" t="s">
        <v>8</v>
      </c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 t="s">
        <v>3176</v>
      </c>
      <c r="P607" s="2" t="str">
        <f>+VLOOKUP(Maestro_Clientes[[#This Row],[Entrega]],Preparacion!A:B,2,0)</f>
        <v>Expreso</v>
      </c>
    </row>
    <row r="608" spans="1:16" x14ac:dyDescent="0.25">
      <c r="A608" s="2" t="s">
        <v>5022</v>
      </c>
      <c r="B608" s="2" t="s">
        <v>604</v>
      </c>
      <c r="C608" s="2" t="s">
        <v>605</v>
      </c>
      <c r="D608" s="2" t="s">
        <v>8</v>
      </c>
      <c r="O608" s="2" t="s">
        <v>3176</v>
      </c>
      <c r="P608" s="2" t="s">
        <v>3176</v>
      </c>
    </row>
    <row r="609" spans="1:17" customFormat="1" x14ac:dyDescent="0.25">
      <c r="A609" s="2" t="s">
        <v>5090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  <c r="Q609" s="2"/>
    </row>
    <row r="610" spans="1:17" customFormat="1" x14ac:dyDescent="0.25">
      <c r="A610" s="2" t="s">
        <v>5123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5126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</row>
    <row r="612" spans="1:17" customFormat="1" x14ac:dyDescent="0.25">
      <c r="A612" s="2" t="s">
        <v>5179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5208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3176</v>
      </c>
      <c r="P613" s="2" t="str">
        <f>+VLOOKUP(Maestro_Clientes[[#This Row],[Entrega]],Preparacion!A:B,2,0)</f>
        <v>Expreso</v>
      </c>
      <c r="Q613" s="2"/>
    </row>
    <row r="614" spans="1:17" customFormat="1" x14ac:dyDescent="0.25">
      <c r="A614" s="2" t="s">
        <v>5224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3158</v>
      </c>
      <c r="P614" s="2" t="str">
        <f>+VLOOKUP(Maestro_Clientes[[#This Row],[Entrega]],Preparacion!A:B,2,0)</f>
        <v>MIERCOLES</v>
      </c>
    </row>
    <row r="615" spans="1:17" customFormat="1" x14ac:dyDescent="0.25">
      <c r="A615" s="2" t="s">
        <v>5246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3176</v>
      </c>
      <c r="P615" s="2" t="str">
        <f>+VLOOKUP(Maestro_Clientes[[#This Row],[Entrega]],Preparacion!A:B,2,0)</f>
        <v>Expreso</v>
      </c>
      <c r="Q615" s="2"/>
    </row>
    <row r="616" spans="1:17" customFormat="1" x14ac:dyDescent="0.25">
      <c r="A616" s="2" t="s">
        <v>5278</v>
      </c>
      <c r="B616" s="2" t="s">
        <v>604</v>
      </c>
      <c r="C616" s="2" t="s">
        <v>605</v>
      </c>
      <c r="D616" s="2" t="s">
        <v>8</v>
      </c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 t="s">
        <v>3009</v>
      </c>
      <c r="P616" s="2" t="str">
        <f>+VLOOKUP(Maestro_Clientes[[#This Row],[Entrega]],Preparacion!A:B,2,0)</f>
        <v>Expreso</v>
      </c>
      <c r="Q616" s="2"/>
    </row>
    <row r="617" spans="1:17" x14ac:dyDescent="0.25">
      <c r="A617" s="2" t="s">
        <v>5282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5291</v>
      </c>
      <c r="B618" s="2" t="s">
        <v>604</v>
      </c>
      <c r="C618" s="2" t="s">
        <v>605</v>
      </c>
      <c r="D618" s="2" t="s">
        <v>8</v>
      </c>
      <c r="O618" s="2" t="s">
        <v>3176</v>
      </c>
      <c r="P618" s="2" t="str">
        <f>+VLOOKUP(Maestro_Clientes[[#This Row],[Entrega]],Preparacion!A:B,2,0)</f>
        <v>Expreso</v>
      </c>
    </row>
    <row r="619" spans="1:17" x14ac:dyDescent="0.25">
      <c r="A619" s="2" t="s">
        <v>5292</v>
      </c>
      <c r="B619" s="2" t="s">
        <v>604</v>
      </c>
      <c r="C619" s="2" t="s">
        <v>605</v>
      </c>
      <c r="D619" s="2" t="s">
        <v>8</v>
      </c>
      <c r="O619" s="2" t="s">
        <v>3009</v>
      </c>
      <c r="P619" s="2" t="str">
        <f>+VLOOKUP(Maestro_Clientes[[#This Row],[Entrega]],Preparacion!A:B,2,0)</f>
        <v>Expreso</v>
      </c>
    </row>
    <row r="620" spans="1:17" customFormat="1" x14ac:dyDescent="0.25">
      <c r="A620" s="2" t="s">
        <v>1880</v>
      </c>
      <c r="B620" s="2" t="s">
        <v>1876</v>
      </c>
      <c r="C620" s="2" t="s">
        <v>1877</v>
      </c>
      <c r="D620" s="2" t="s">
        <v>8</v>
      </c>
      <c r="E620" s="2" t="s">
        <v>1879</v>
      </c>
      <c r="F620" s="2">
        <v>1001</v>
      </c>
      <c r="G620" s="2" t="s">
        <v>9</v>
      </c>
      <c r="H620" s="2" t="s">
        <v>1878</v>
      </c>
      <c r="I620" s="2" t="s">
        <v>186</v>
      </c>
      <c r="J620" s="2" t="s">
        <v>2729</v>
      </c>
      <c r="K620" s="2" t="s">
        <v>186</v>
      </c>
      <c r="L620" s="2" t="s">
        <v>3176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Expreso</v>
      </c>
      <c r="P620" s="2" t="str">
        <f>+VLOOKUP(Maestro_Clientes[[#This Row],[Entrega]],Preparacion!A:B,2,0)</f>
        <v>Expreso</v>
      </c>
    </row>
    <row r="621" spans="1:17" x14ac:dyDescent="0.25">
      <c r="A621" s="2" t="s">
        <v>1259</v>
      </c>
      <c r="B621" s="2" t="s">
        <v>1255</v>
      </c>
      <c r="C621" s="2" t="s">
        <v>1256</v>
      </c>
      <c r="D621" s="2" t="s">
        <v>8</v>
      </c>
      <c r="E621" s="2" t="s">
        <v>1258</v>
      </c>
      <c r="F621" s="2">
        <v>1001</v>
      </c>
      <c r="G621" s="2" t="s">
        <v>9</v>
      </c>
      <c r="H621" s="2" t="s">
        <v>1257</v>
      </c>
      <c r="I621" s="2" t="s">
        <v>1257</v>
      </c>
      <c r="J621" s="2" t="s">
        <v>2862</v>
      </c>
      <c r="K621" s="2" t="s">
        <v>12</v>
      </c>
      <c r="L621" s="2" t="s">
        <v>1257</v>
      </c>
      <c r="M621" s="2" t="s">
        <v>14</v>
      </c>
      <c r="N621" s="2" t="s">
        <v>15</v>
      </c>
      <c r="O621" s="2" t="str">
        <f>_xlfn.IFNA(+VLOOKUP(Maestro_Clientes[[#This Row],[Zona]],Tabla1[[#All],[Cruce Reportes]:[ENTREGA ]],2,0),Maestro_Clientes[[#This Row],[Zona]])</f>
        <v>LUNES</v>
      </c>
      <c r="P621" s="2" t="str">
        <f>+VLOOKUP(Maestro_Clientes[[#This Row],[Entrega]],Preparacion!A:B,2,0)</f>
        <v>JUEVES</v>
      </c>
    </row>
    <row r="622" spans="1:17" customFormat="1" x14ac:dyDescent="0.25">
      <c r="A622" s="2" t="s">
        <v>2241</v>
      </c>
      <c r="B622" s="2" t="s">
        <v>2238</v>
      </c>
      <c r="C622" s="2" t="s">
        <v>2239</v>
      </c>
      <c r="D622" s="2" t="s">
        <v>8</v>
      </c>
      <c r="E622" s="2" t="s">
        <v>2240</v>
      </c>
      <c r="F622" s="2">
        <v>1014</v>
      </c>
      <c r="G622" s="2" t="s">
        <v>59</v>
      </c>
      <c r="H622" s="2" t="s">
        <v>184</v>
      </c>
      <c r="I622" s="2" t="s">
        <v>474</v>
      </c>
      <c r="J622" s="2" t="s">
        <v>2772</v>
      </c>
      <c r="K622" s="2" t="s">
        <v>186</v>
      </c>
      <c r="L622" s="2" t="s">
        <v>3176</v>
      </c>
      <c r="M622" s="2" t="s">
        <v>2706</v>
      </c>
      <c r="N622" s="2" t="s">
        <v>66</v>
      </c>
      <c r="O622" s="2" t="str">
        <f>_xlfn.IFNA(+VLOOKUP(Maestro_Clientes[[#This Row],[Zona]],Tabla1[[#All],[Cruce Reportes]:[ENTREGA ]],2,0),Maestro_Clientes[[#This Row],[Zona]])</f>
        <v>Expreso</v>
      </c>
      <c r="P622" s="2" t="str">
        <f>+VLOOKUP(Maestro_Clientes[[#This Row],[Entrega]],Preparacion!A:B,2,0)</f>
        <v>Expreso</v>
      </c>
    </row>
    <row r="623" spans="1:17" customFormat="1" x14ac:dyDescent="0.25">
      <c r="A623" s="2" t="s">
        <v>5237</v>
      </c>
      <c r="B623" s="2" t="s">
        <v>5235</v>
      </c>
      <c r="C623" s="2" t="s">
        <v>5236</v>
      </c>
      <c r="D623" s="2" t="s">
        <v>8</v>
      </c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 t="s">
        <v>3176</v>
      </c>
      <c r="P623" s="2" t="str">
        <f>+VLOOKUP(Maestro_Clientes[[#This Row],[Entrega]],Preparacion!A:B,2,0)</f>
        <v>Expreso</v>
      </c>
      <c r="Q623" s="2"/>
    </row>
    <row r="624" spans="1:17" customFormat="1" x14ac:dyDescent="0.25">
      <c r="A624" s="2" t="s">
        <v>2070</v>
      </c>
      <c r="B624" s="2" t="s">
        <v>2067</v>
      </c>
      <c r="C624" s="2" t="s">
        <v>2068</v>
      </c>
      <c r="D624" s="2" t="s">
        <v>8</v>
      </c>
      <c r="E624" s="2" t="s">
        <v>2069</v>
      </c>
      <c r="F624" s="2">
        <v>1014</v>
      </c>
      <c r="G624" s="2" t="s">
        <v>59</v>
      </c>
      <c r="H624" s="2" t="s">
        <v>229</v>
      </c>
      <c r="I624" s="2" t="s">
        <v>126</v>
      </c>
      <c r="J624" s="2" t="s">
        <v>2760</v>
      </c>
      <c r="K624" s="2" t="s">
        <v>126</v>
      </c>
      <c r="L624" s="2" t="s">
        <v>3176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4559</v>
      </c>
      <c r="B625" s="2" t="s">
        <v>4560</v>
      </c>
      <c r="C625" s="2" t="s">
        <v>4561</v>
      </c>
      <c r="D625" s="2" t="s">
        <v>8</v>
      </c>
      <c r="E625" s="2" t="s">
        <v>4562</v>
      </c>
      <c r="F625" s="2">
        <v>1014</v>
      </c>
      <c r="G625" s="2" t="s">
        <v>59</v>
      </c>
      <c r="H625" s="2" t="s">
        <v>3672</v>
      </c>
      <c r="I625" s="2" t="s">
        <v>3928</v>
      </c>
      <c r="J625" s="2" t="s">
        <v>3929</v>
      </c>
      <c r="K625" s="2" t="s">
        <v>237</v>
      </c>
      <c r="L625" s="2" t="s">
        <v>3009</v>
      </c>
      <c r="M625" s="2" t="s">
        <v>2706</v>
      </c>
      <c r="N625" s="2" t="s">
        <v>66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1174</v>
      </c>
      <c r="B626" s="2" t="s">
        <v>1171</v>
      </c>
      <c r="C626" s="2" t="s">
        <v>1172</v>
      </c>
      <c r="D626" s="2" t="s">
        <v>8</v>
      </c>
      <c r="E626" s="2" t="s">
        <v>1173</v>
      </c>
      <c r="F626" s="2">
        <v>1002</v>
      </c>
      <c r="G626" s="2" t="s">
        <v>34</v>
      </c>
      <c r="H626" s="2" t="s">
        <v>1137</v>
      </c>
      <c r="I626" s="2" t="s">
        <v>1050</v>
      </c>
      <c r="J626" s="2" t="s">
        <v>2843</v>
      </c>
      <c r="K626" s="2" t="s">
        <v>531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1555</v>
      </c>
      <c r="B627" s="2" t="s">
        <v>1551</v>
      </c>
      <c r="C627" s="2" t="s">
        <v>1552</v>
      </c>
      <c r="D627" s="2" t="s">
        <v>8</v>
      </c>
      <c r="E627" s="2" t="s">
        <v>1553</v>
      </c>
      <c r="F627" s="2">
        <v>1002</v>
      </c>
      <c r="G627" s="2" t="s">
        <v>34</v>
      </c>
      <c r="H627" s="2" t="s">
        <v>184</v>
      </c>
      <c r="I627" s="2" t="s">
        <v>1554</v>
      </c>
      <c r="J627" s="2" t="s">
        <v>2895</v>
      </c>
      <c r="K627" s="2" t="s">
        <v>186</v>
      </c>
      <c r="L627" s="2" t="s">
        <v>3176</v>
      </c>
      <c r="M627" s="2" t="s">
        <v>39</v>
      </c>
      <c r="N627" s="2" t="s">
        <v>40</v>
      </c>
      <c r="O627" s="2" t="str">
        <f>_xlfn.IFNA(+VLOOKUP(Maestro_Clientes[[#This Row],[Zona]],Tabla1[[#All],[Cruce Reportes]:[ENTREGA ]],2,0),Maestro_Clientes[[#This Row],[Zona]])</f>
        <v>Expreso</v>
      </c>
      <c r="P627" s="2" t="str">
        <f>+VLOOKUP(Maestro_Clientes[[#This Row],[Entrega]],Preparacion!A:B,2,0)</f>
        <v>Expreso</v>
      </c>
    </row>
    <row r="628" spans="1:17" customFormat="1" x14ac:dyDescent="0.25">
      <c r="A628" s="2" t="s">
        <v>2393</v>
      </c>
      <c r="B628" s="2" t="s">
        <v>2390</v>
      </c>
      <c r="C628" s="2" t="s">
        <v>2391</v>
      </c>
      <c r="D628" s="2" t="s">
        <v>8</v>
      </c>
      <c r="E628" s="2" t="s">
        <v>2392</v>
      </c>
      <c r="F628" s="2">
        <v>1001</v>
      </c>
      <c r="G628" s="2" t="s">
        <v>9</v>
      </c>
      <c r="H628" s="2" t="s">
        <v>446</v>
      </c>
      <c r="I628" s="2" t="s">
        <v>446</v>
      </c>
      <c r="J628" s="2" t="s">
        <v>2769</v>
      </c>
      <c r="K628" s="2" t="s">
        <v>12</v>
      </c>
      <c r="L628" s="2" t="s">
        <v>447</v>
      </c>
      <c r="M628" s="2" t="s">
        <v>14</v>
      </c>
      <c r="N628" s="2" t="s">
        <v>15</v>
      </c>
      <c r="O628" s="2" t="s">
        <v>3125</v>
      </c>
      <c r="P628" s="2" t="str">
        <f>+VLOOKUP(Maestro_Clientes[[#This Row],[Entrega]],Preparacion!A:B,2,0)</f>
        <v>MARTES</v>
      </c>
    </row>
    <row r="629" spans="1:17" customFormat="1" x14ac:dyDescent="0.25">
      <c r="A629" s="2" t="s">
        <v>2129</v>
      </c>
      <c r="B629" s="2" t="s">
        <v>2126</v>
      </c>
      <c r="C629" s="2" t="s">
        <v>2127</v>
      </c>
      <c r="D629" s="2" t="s">
        <v>8</v>
      </c>
      <c r="E629" s="2" t="s">
        <v>2128</v>
      </c>
      <c r="F629" s="2">
        <v>1014</v>
      </c>
      <c r="G629" s="2" t="s">
        <v>59</v>
      </c>
      <c r="H629" s="2" t="s">
        <v>763</v>
      </c>
      <c r="I629" s="2" t="s">
        <v>209</v>
      </c>
      <c r="J629" s="2" t="s">
        <v>2733</v>
      </c>
      <c r="K629" s="2" t="s">
        <v>12</v>
      </c>
      <c r="L629" s="2" t="s">
        <v>3176</v>
      </c>
      <c r="M629" s="2" t="s">
        <v>2706</v>
      </c>
      <c r="N629" s="2" t="s">
        <v>66</v>
      </c>
      <c r="O629" s="2" t="str">
        <f>_xlfn.IFNA(+VLOOKUP(Maestro_Clientes[[#This Row],[Zona]],Tabla1[[#All],[Cruce Reportes]:[ENTREGA ]],2,0),Maestro_Clientes[[#This Row],[Zona]])</f>
        <v>Expreso</v>
      </c>
      <c r="P629" s="2" t="str">
        <f>+VLOOKUP(Maestro_Clientes[[#This Row],[Entrega]],Preparacion!A:B,2,0)</f>
        <v>Expreso</v>
      </c>
    </row>
    <row r="630" spans="1:17" customFormat="1" x14ac:dyDescent="0.25">
      <c r="A630" s="2" t="s">
        <v>2423</v>
      </c>
      <c r="B630" s="2" t="s">
        <v>2420</v>
      </c>
      <c r="C630" s="2" t="s">
        <v>2421</v>
      </c>
      <c r="D630" s="2" t="s">
        <v>8</v>
      </c>
      <c r="E630" s="2" t="s">
        <v>2422</v>
      </c>
      <c r="F630" s="2">
        <v>1025</v>
      </c>
      <c r="G630" s="2" t="s">
        <v>113</v>
      </c>
      <c r="H630" s="2" t="s">
        <v>1285</v>
      </c>
      <c r="I630" s="2" t="s">
        <v>63</v>
      </c>
      <c r="J630" s="2" t="s">
        <v>2710</v>
      </c>
      <c r="K630" s="2" t="s">
        <v>63</v>
      </c>
      <c r="L630" s="2" t="s">
        <v>3023</v>
      </c>
      <c r="M630" s="2" t="s">
        <v>118</v>
      </c>
      <c r="N630" s="2" t="s">
        <v>119</v>
      </c>
      <c r="O630" s="2" t="str">
        <f>_xlfn.IFNA(+VLOOKUP(Maestro_Clientes[[#This Row],[Zona]],Tabla1[[#All],[Cruce Reportes]:[ENTREGA ]],2,0),Maestro_Clientes[[#This Row],[Zona]])</f>
        <v>LUNES</v>
      </c>
      <c r="P630" s="2" t="str">
        <f>+VLOOKUP(Maestro_Clientes[[#This Row],[Entrega]],Preparacion!A:B,2,0)</f>
        <v>JUEVES</v>
      </c>
      <c r="Q630" s="2"/>
    </row>
    <row r="631" spans="1:17" customFormat="1" x14ac:dyDescent="0.25">
      <c r="A631" s="2" t="s">
        <v>1179</v>
      </c>
      <c r="B631" s="2" t="s">
        <v>1175</v>
      </c>
      <c r="C631" s="2" t="s">
        <v>1176</v>
      </c>
      <c r="D631" s="2" t="s">
        <v>8</v>
      </c>
      <c r="E631" s="2" t="s">
        <v>1177</v>
      </c>
      <c r="F631" s="2">
        <v>1002</v>
      </c>
      <c r="G631" s="2" t="s">
        <v>34</v>
      </c>
      <c r="H631" s="2" t="s">
        <v>179</v>
      </c>
      <c r="I631" s="2" t="s">
        <v>1178</v>
      </c>
      <c r="J631" s="2" t="s">
        <v>2853</v>
      </c>
      <c r="K631" s="2" t="s">
        <v>140</v>
      </c>
      <c r="L631" s="2" t="s">
        <v>3176</v>
      </c>
      <c r="M631" s="2" t="s">
        <v>39</v>
      </c>
      <c r="N631" s="2" t="s">
        <v>40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4581</v>
      </c>
      <c r="B632" s="2" t="s">
        <v>1175</v>
      </c>
      <c r="C632" s="2" t="s">
        <v>1176</v>
      </c>
      <c r="D632" s="2" t="s">
        <v>8</v>
      </c>
      <c r="E632" s="2" t="s">
        <v>4582</v>
      </c>
      <c r="F632" s="2">
        <v>1034</v>
      </c>
      <c r="G632" s="2" t="s">
        <v>158</v>
      </c>
      <c r="H632" s="2" t="s">
        <v>4583</v>
      </c>
      <c r="I632" s="2" t="s">
        <v>4583</v>
      </c>
      <c r="J632" s="2" t="s">
        <v>4584</v>
      </c>
      <c r="K632" s="2" t="s">
        <v>140</v>
      </c>
      <c r="L632" s="2" t="s">
        <v>3009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3744</v>
      </c>
      <c r="B633" s="2" t="s">
        <v>3745</v>
      </c>
      <c r="C633" s="2" t="s">
        <v>3746</v>
      </c>
      <c r="D633" s="2" t="s">
        <v>8</v>
      </c>
      <c r="E633" s="2" t="s">
        <v>3747</v>
      </c>
      <c r="F633" s="2">
        <v>1034</v>
      </c>
      <c r="G633" s="2" t="s">
        <v>158</v>
      </c>
      <c r="H633" s="2" t="s">
        <v>179</v>
      </c>
      <c r="I633" s="2" t="s">
        <v>3748</v>
      </c>
      <c r="J633" s="2" t="s">
        <v>3749</v>
      </c>
      <c r="K633" s="2" t="s">
        <v>140</v>
      </c>
      <c r="L633" s="2" t="s">
        <v>3176</v>
      </c>
      <c r="M633" s="2" t="s">
        <v>2706</v>
      </c>
      <c r="N633" s="2" t="s">
        <v>163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3393</v>
      </c>
      <c r="B634" s="2" t="s">
        <v>3394</v>
      </c>
      <c r="C634" s="2" t="s">
        <v>3395</v>
      </c>
      <c r="D634" s="2" t="s">
        <v>8</v>
      </c>
      <c r="E634" s="2" t="s">
        <v>3396</v>
      </c>
      <c r="F634" s="2">
        <v>0</v>
      </c>
      <c r="G634" s="2" t="s">
        <v>3176</v>
      </c>
      <c r="H634" s="2" t="s">
        <v>1714</v>
      </c>
      <c r="I634" s="2" t="s">
        <v>1714</v>
      </c>
      <c r="J634" s="2" t="s">
        <v>2909</v>
      </c>
      <c r="K634" s="2" t="s">
        <v>12</v>
      </c>
      <c r="L634" s="2" t="s">
        <v>3176</v>
      </c>
      <c r="M634" s="2" t="s">
        <v>2706</v>
      </c>
      <c r="N634" s="2" t="s">
        <v>2706</v>
      </c>
      <c r="O634" s="2" t="str">
        <f>_xlfn.IFNA(+VLOOKUP(Maestro_Clientes[[#This Row],[Zona]],Tabla1[[#All],[Cruce Reportes]:[ENTREGA ]],2,0),Maestro_Clientes[[#This Row],[Zona]])</f>
        <v>Expreso</v>
      </c>
      <c r="P634" s="2" t="str">
        <f>+VLOOKUP(Maestro_Clientes[[#This Row],[Entrega]],Preparacion!A:B,2,0)</f>
        <v>Expreso</v>
      </c>
    </row>
    <row r="635" spans="1:17" customFormat="1" x14ac:dyDescent="0.25">
      <c r="A635" s="2" t="s">
        <v>463</v>
      </c>
      <c r="B635" s="2" t="s">
        <v>460</v>
      </c>
      <c r="C635" s="2" t="s">
        <v>461</v>
      </c>
      <c r="D635" s="2" t="s">
        <v>8</v>
      </c>
      <c r="E635" s="2" t="s">
        <v>462</v>
      </c>
      <c r="F635" s="2">
        <v>1014</v>
      </c>
      <c r="G635" s="2" t="s">
        <v>59</v>
      </c>
      <c r="H635" s="2" t="s">
        <v>446</v>
      </c>
      <c r="I635" s="2" t="s">
        <v>446</v>
      </c>
      <c r="J635" s="2" t="s">
        <v>2769</v>
      </c>
      <c r="K635" s="2" t="s">
        <v>12</v>
      </c>
      <c r="L635" s="2" t="s">
        <v>447</v>
      </c>
      <c r="M635" s="2" t="s">
        <v>2706</v>
      </c>
      <c r="N635" s="2" t="s">
        <v>66</v>
      </c>
      <c r="O635" s="2" t="s">
        <v>3125</v>
      </c>
      <c r="P635" s="2" t="str">
        <f>+VLOOKUP(Maestro_Clientes[[#This Row],[Entrega]],Preparacion!A:B,2,0)</f>
        <v>MARTES</v>
      </c>
    </row>
    <row r="636" spans="1:17" x14ac:dyDescent="0.25">
      <c r="A636" s="2" t="s">
        <v>5005</v>
      </c>
      <c r="B636" s="2" t="s">
        <v>460</v>
      </c>
      <c r="C636" s="2" t="s">
        <v>461</v>
      </c>
      <c r="D636" s="2" t="s">
        <v>8</v>
      </c>
      <c r="O636" s="2" t="s">
        <v>3125</v>
      </c>
      <c r="P636" s="2" t="str">
        <f>+VLOOKUP(Maestro_Clientes[[#This Row],[Entrega]],Preparacion!A:B,2,0)</f>
        <v>MARTES</v>
      </c>
      <c r="Q636"/>
    </row>
    <row r="637" spans="1:17" customFormat="1" x14ac:dyDescent="0.25">
      <c r="A637" s="2" t="s">
        <v>4585</v>
      </c>
      <c r="B637" s="2" t="s">
        <v>4586</v>
      </c>
      <c r="C637" s="2" t="s">
        <v>4587</v>
      </c>
      <c r="D637" s="2" t="s">
        <v>8</v>
      </c>
      <c r="E637" s="2" t="s">
        <v>4588</v>
      </c>
      <c r="F637" s="2">
        <v>1034</v>
      </c>
      <c r="G637" s="2" t="s">
        <v>158</v>
      </c>
      <c r="H637" s="2" t="s">
        <v>1127</v>
      </c>
      <c r="I637" s="2" t="s">
        <v>4589</v>
      </c>
      <c r="J637" s="2" t="s">
        <v>4590</v>
      </c>
      <c r="K637" s="2" t="s">
        <v>1129</v>
      </c>
      <c r="L637" s="2" t="s">
        <v>3009</v>
      </c>
      <c r="M637" s="2" t="s">
        <v>2706</v>
      </c>
      <c r="N637" s="2" t="s">
        <v>163</v>
      </c>
      <c r="O637" s="2" t="str">
        <f>_xlfn.IFNA(+VLOOKUP(Maestro_Clientes[[#This Row],[Zona]],Tabla1[[#All],[Cruce Reportes]:[ENTREGA ]],2,0),Maestro_Clientes[[#This Row],[Zona]])</f>
        <v>EXPRESO</v>
      </c>
      <c r="P637" s="2" t="str">
        <f>+VLOOKUP(Maestro_Clientes[[#This Row],[Entrega]],Preparacion!A:B,2,0)</f>
        <v>Expreso</v>
      </c>
    </row>
    <row r="638" spans="1:17" customFormat="1" x14ac:dyDescent="0.25">
      <c r="A638" s="2" t="s">
        <v>4595</v>
      </c>
      <c r="B638" s="2" t="s">
        <v>4596</v>
      </c>
      <c r="C638" s="2" t="s">
        <v>4597</v>
      </c>
      <c r="D638" s="2" t="s">
        <v>8</v>
      </c>
      <c r="E638" s="2" t="s">
        <v>4598</v>
      </c>
      <c r="F638" s="2">
        <v>1001</v>
      </c>
      <c r="G638" s="2" t="s">
        <v>9</v>
      </c>
      <c r="H638" s="2" t="s">
        <v>4599</v>
      </c>
      <c r="I638" s="2" t="s">
        <v>4599</v>
      </c>
      <c r="J638" s="2" t="s">
        <v>2716</v>
      </c>
      <c r="K638" s="2" t="s">
        <v>12</v>
      </c>
      <c r="L638" s="2" t="s">
        <v>3125</v>
      </c>
      <c r="M638" s="2" t="s">
        <v>14</v>
      </c>
      <c r="N638" s="2" t="s">
        <v>15</v>
      </c>
      <c r="O638" s="2" t="s">
        <v>3158</v>
      </c>
      <c r="P638" s="2" t="str">
        <f>+VLOOKUP(Maestro_Clientes[[#This Row],[Entrega]],Preparacion!A:B,2,0)</f>
        <v>MIERCOLES</v>
      </c>
    </row>
    <row r="639" spans="1:17" x14ac:dyDescent="0.25">
      <c r="A639" s="2" t="s">
        <v>677</v>
      </c>
      <c r="B639" s="2" t="s">
        <v>672</v>
      </c>
      <c r="C639" s="2" t="s">
        <v>673</v>
      </c>
      <c r="D639" s="2" t="s">
        <v>8</v>
      </c>
      <c r="E639" s="2" t="s">
        <v>675</v>
      </c>
      <c r="F639" s="2">
        <v>1014</v>
      </c>
      <c r="G639" s="2" t="s">
        <v>59</v>
      </c>
      <c r="H639" s="2" t="s">
        <v>674</v>
      </c>
      <c r="I639" s="2" t="s">
        <v>676</v>
      </c>
      <c r="J639" s="2" t="s">
        <v>2797</v>
      </c>
      <c r="K639" s="2" t="s">
        <v>12</v>
      </c>
      <c r="L639" s="2" t="s">
        <v>3176</v>
      </c>
      <c r="M639" s="2" t="s">
        <v>2706</v>
      </c>
      <c r="N639" s="2" t="s">
        <v>66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  <c r="Q639"/>
    </row>
    <row r="640" spans="1:17" customFormat="1" x14ac:dyDescent="0.25">
      <c r="A640" s="2" t="s">
        <v>1010</v>
      </c>
      <c r="B640" s="2" t="s">
        <v>1005</v>
      </c>
      <c r="C640" s="2" t="s">
        <v>1006</v>
      </c>
      <c r="D640" s="2" t="s">
        <v>8</v>
      </c>
      <c r="E640" s="2" t="s">
        <v>1008</v>
      </c>
      <c r="F640" s="2">
        <v>1002</v>
      </c>
      <c r="G640" s="2" t="s">
        <v>34</v>
      </c>
      <c r="H640" s="2" t="s">
        <v>1007</v>
      </c>
      <c r="I640" s="2" t="s">
        <v>1009</v>
      </c>
      <c r="J640" s="2" t="s">
        <v>2837</v>
      </c>
      <c r="K640" s="2" t="s">
        <v>12</v>
      </c>
      <c r="L640" s="2" t="s">
        <v>3176</v>
      </c>
      <c r="M640" s="2" t="s">
        <v>39</v>
      </c>
      <c r="N640" s="2" t="s">
        <v>40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776</v>
      </c>
      <c r="B641" s="2" t="s">
        <v>771</v>
      </c>
      <c r="C641" s="2" t="s">
        <v>772</v>
      </c>
      <c r="D641" s="2" t="s">
        <v>8</v>
      </c>
      <c r="E641" s="2" t="s">
        <v>774</v>
      </c>
      <c r="F641" s="2">
        <v>1014</v>
      </c>
      <c r="G641" s="2" t="s">
        <v>59</v>
      </c>
      <c r="H641" s="2" t="s">
        <v>773</v>
      </c>
      <c r="I641" s="2" t="s">
        <v>775</v>
      </c>
      <c r="J641" s="2" t="s">
        <v>2811</v>
      </c>
      <c r="K641" s="2" t="s">
        <v>12</v>
      </c>
      <c r="L641" s="2" t="s">
        <v>3176</v>
      </c>
      <c r="M641" s="2" t="s">
        <v>2706</v>
      </c>
      <c r="N641" s="2" t="s">
        <v>66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4591</v>
      </c>
      <c r="B642" s="2" t="s">
        <v>4592</v>
      </c>
      <c r="C642" s="2" t="s">
        <v>4593</v>
      </c>
      <c r="D642" s="2" t="s">
        <v>8</v>
      </c>
      <c r="E642" s="2" t="s">
        <v>4594</v>
      </c>
      <c r="F642" s="2">
        <v>1028</v>
      </c>
      <c r="G642" s="2" t="s">
        <v>81</v>
      </c>
      <c r="H642" s="2" t="s">
        <v>173</v>
      </c>
      <c r="I642" s="2" t="s">
        <v>3798</v>
      </c>
      <c r="J642" s="2" t="s">
        <v>3799</v>
      </c>
      <c r="K642" s="2" t="s">
        <v>140</v>
      </c>
      <c r="L642" s="2" t="s">
        <v>3009</v>
      </c>
      <c r="M642" s="2" t="s">
        <v>87</v>
      </c>
      <c r="N642" s="2" t="s">
        <v>88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3750</v>
      </c>
      <c r="B643" s="2" t="s">
        <v>3751</v>
      </c>
      <c r="C643" s="2" t="s">
        <v>3752</v>
      </c>
      <c r="D643" s="2" t="s">
        <v>8</v>
      </c>
      <c r="E643" s="2" t="s">
        <v>3753</v>
      </c>
      <c r="F643" s="2">
        <v>1025</v>
      </c>
      <c r="G643" s="2" t="s">
        <v>113</v>
      </c>
      <c r="H643" s="2" t="s">
        <v>740</v>
      </c>
      <c r="I643" s="2" t="s">
        <v>681</v>
      </c>
      <c r="J643" s="2" t="s">
        <v>2807</v>
      </c>
      <c r="K643" s="2" t="s">
        <v>681</v>
      </c>
      <c r="L643" s="2" t="s">
        <v>3176</v>
      </c>
      <c r="M643" s="2" t="s">
        <v>118</v>
      </c>
      <c r="N643" s="2" t="s">
        <v>119</v>
      </c>
      <c r="O643" s="2" t="str">
        <f>_xlfn.IFNA(+VLOOKUP(Maestro_Clientes[[#This Row],[Zona]],Tabla1[[#All],[Cruce Reportes]:[ENTREGA ]],2,0),Maestro_Clientes[[#This Row],[Zona]])</f>
        <v>Expreso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5116</v>
      </c>
      <c r="B644" s="2" t="s">
        <v>5114</v>
      </c>
      <c r="C644" s="2" t="s">
        <v>5115</v>
      </c>
      <c r="D644" s="2" t="s">
        <v>8</v>
      </c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3176</v>
      </c>
      <c r="P644" s="2" t="str">
        <f>+VLOOKUP(Maestro_Clientes[[#This Row],[Entrega]],Preparacion!A:B,2,0)</f>
        <v>Expreso</v>
      </c>
    </row>
    <row r="645" spans="1:17" customFormat="1" x14ac:dyDescent="0.25">
      <c r="A645" s="2" t="s">
        <v>4950</v>
      </c>
      <c r="B645" s="2" t="s">
        <v>4932</v>
      </c>
      <c r="C645" s="2" t="s">
        <v>4967</v>
      </c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 t="s">
        <v>3023</v>
      </c>
      <c r="P645" s="2" t="str">
        <f>+VLOOKUP(Maestro_Clientes[[#This Row],[Entrega]],Preparacion!A:B,2,0)</f>
        <v>JUEVES</v>
      </c>
      <c r="Q645" s="2"/>
    </row>
    <row r="646" spans="1:17" customFormat="1" x14ac:dyDescent="0.25">
      <c r="A646" s="2" t="s">
        <v>1309</v>
      </c>
      <c r="B646" s="2" t="s">
        <v>1302</v>
      </c>
      <c r="C646" s="2" t="s">
        <v>1303</v>
      </c>
      <c r="D646" s="2" t="s">
        <v>8</v>
      </c>
      <c r="E646" s="2" t="s">
        <v>1308</v>
      </c>
      <c r="F646" s="2">
        <v>1014</v>
      </c>
      <c r="G646" s="2" t="s">
        <v>59</v>
      </c>
      <c r="H646" s="2" t="s">
        <v>1307</v>
      </c>
      <c r="I646" s="2" t="s">
        <v>1307</v>
      </c>
      <c r="J646" s="2" t="s">
        <v>2868</v>
      </c>
      <c r="K646" s="2" t="s">
        <v>1307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1306</v>
      </c>
      <c r="B647" s="2" t="s">
        <v>1302</v>
      </c>
      <c r="C647" s="2" t="s">
        <v>1303</v>
      </c>
      <c r="D647" s="2" t="s">
        <v>8</v>
      </c>
      <c r="E647" s="2" t="s">
        <v>1305</v>
      </c>
      <c r="F647" s="2">
        <v>1014</v>
      </c>
      <c r="G647" s="2" t="s">
        <v>59</v>
      </c>
      <c r="H647" s="2" t="s">
        <v>1304</v>
      </c>
      <c r="I647" s="2" t="s">
        <v>931</v>
      </c>
      <c r="J647" s="2" t="s">
        <v>2829</v>
      </c>
      <c r="K647" s="2" t="s">
        <v>243</v>
      </c>
      <c r="L647" s="2" t="s">
        <v>3176</v>
      </c>
      <c r="M647" s="2" t="s">
        <v>2706</v>
      </c>
      <c r="N647" s="2" t="s">
        <v>66</v>
      </c>
      <c r="O647" s="2" t="str">
        <f>_xlfn.IFNA(+VLOOKUP(Maestro_Clientes[[#This Row],[Zona]],Tabla1[[#All],[Cruce Reportes]:[ENTREGA ]],2,0),Maestro_Clientes[[#This Row],[Zona]])</f>
        <v>Expreso</v>
      </c>
      <c r="P647" s="2" t="str">
        <f>+VLOOKUP(Maestro_Clientes[[#This Row],[Entrega]],Preparacion!A:B,2,0)</f>
        <v>Expreso</v>
      </c>
    </row>
    <row r="648" spans="1:17" customFormat="1" x14ac:dyDescent="0.25">
      <c r="A648" s="2" t="s">
        <v>3494</v>
      </c>
      <c r="B648" s="2" t="s">
        <v>3495</v>
      </c>
      <c r="C648" s="2" t="s">
        <v>3496</v>
      </c>
      <c r="D648" s="2" t="s">
        <v>8</v>
      </c>
      <c r="E648" s="2" t="s">
        <v>3497</v>
      </c>
      <c r="F648" s="2">
        <v>1002</v>
      </c>
      <c r="G648" s="2" t="s">
        <v>34</v>
      </c>
      <c r="H648" s="2" t="s">
        <v>855</v>
      </c>
      <c r="I648" s="2" t="s">
        <v>855</v>
      </c>
      <c r="J648" s="2" t="s">
        <v>2820</v>
      </c>
      <c r="K648" s="2" t="s">
        <v>12</v>
      </c>
      <c r="L648" s="2" t="s">
        <v>346</v>
      </c>
      <c r="M648" s="2" t="s">
        <v>39</v>
      </c>
      <c r="N648" s="2" t="s">
        <v>40</v>
      </c>
      <c r="O648" s="2" t="str">
        <f>_xlfn.IFNA(+VLOOKUP(Maestro_Clientes[[#This Row],[Zona]],Tabla1[[#All],[Cruce Reportes]:[ENTREGA ]],2,0),Maestro_Clientes[[#This Row],[Zona]])</f>
        <v>LUNES</v>
      </c>
      <c r="P648" s="2" t="str">
        <f>+VLOOKUP(Maestro_Clientes[[#This Row],[Entrega]],Preparacion!A:B,2,0)</f>
        <v>JUEVES</v>
      </c>
      <c r="Q648" s="2"/>
    </row>
    <row r="649" spans="1:17" customFormat="1" x14ac:dyDescent="0.25">
      <c r="A649" s="2" t="s">
        <v>5011</v>
      </c>
      <c r="B649" s="2" t="s">
        <v>5010</v>
      </c>
      <c r="C649" s="2" t="s">
        <v>5012</v>
      </c>
      <c r="D649" s="2" t="s">
        <v>8</v>
      </c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 t="s">
        <v>3176</v>
      </c>
      <c r="P649" s="2" t="str">
        <f>+VLOOKUP(Maestro_Clientes[[#This Row],[Entrega]],Preparacion!A:B,2,0)</f>
        <v>Expreso</v>
      </c>
    </row>
    <row r="650" spans="1:17" customFormat="1" x14ac:dyDescent="0.25">
      <c r="A650" s="2" t="s">
        <v>981</v>
      </c>
      <c r="B650" s="2" t="s">
        <v>977</v>
      </c>
      <c r="C650" s="2" t="s">
        <v>978</v>
      </c>
      <c r="D650" s="2" t="s">
        <v>8</v>
      </c>
      <c r="E650" s="2" t="s">
        <v>980</v>
      </c>
      <c r="F650" s="2">
        <v>1001</v>
      </c>
      <c r="G650" s="2" t="s">
        <v>9</v>
      </c>
      <c r="H650" s="2" t="s">
        <v>979</v>
      </c>
      <c r="I650" s="2" t="s">
        <v>62</v>
      </c>
      <c r="J650" s="2" t="s">
        <v>2830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1106</v>
      </c>
      <c r="B651" s="2" t="s">
        <v>1102</v>
      </c>
      <c r="C651" s="2" t="s">
        <v>1103</v>
      </c>
      <c r="D651" s="2" t="s">
        <v>8</v>
      </c>
      <c r="E651" s="2" t="s">
        <v>1105</v>
      </c>
      <c r="F651" s="2">
        <v>1001</v>
      </c>
      <c r="G651" s="2" t="s">
        <v>9</v>
      </c>
      <c r="H651" s="2" t="s">
        <v>1104</v>
      </c>
      <c r="I651" s="2" t="s">
        <v>62</v>
      </c>
      <c r="J651" s="2" t="s">
        <v>2752</v>
      </c>
      <c r="K651" s="2" t="s">
        <v>63</v>
      </c>
      <c r="L651" s="2" t="s">
        <v>3023</v>
      </c>
      <c r="M651" s="2" t="s">
        <v>14</v>
      </c>
      <c r="N651" s="2" t="s">
        <v>15</v>
      </c>
      <c r="O651" s="2" t="str">
        <f>_xlfn.IFNA(+VLOOKUP(Maestro_Clientes[[#This Row],[Zona]],Tabla1[[#All],[Cruce Reportes]:[ENTREGA ]],2,0),Maestro_Clientes[[#This Row],[Zona]])</f>
        <v>LUNES</v>
      </c>
      <c r="P651" s="2" t="str">
        <f>+VLOOKUP(Maestro_Clientes[[#This Row],[Entrega]],Preparacion!A:B,2,0)</f>
        <v>JUEVES</v>
      </c>
      <c r="Q651" s="2"/>
    </row>
    <row r="652" spans="1:17" customFormat="1" x14ac:dyDescent="0.25">
      <c r="A652" s="2" t="s">
        <v>2210</v>
      </c>
      <c r="B652" s="2" t="s">
        <v>2207</v>
      </c>
      <c r="C652" s="2" t="s">
        <v>2208</v>
      </c>
      <c r="D652" s="2" t="s">
        <v>8</v>
      </c>
      <c r="E652" s="2" t="s">
        <v>2209</v>
      </c>
      <c r="F652" s="2">
        <v>1014</v>
      </c>
      <c r="G652" s="2" t="s">
        <v>59</v>
      </c>
      <c r="H652" s="2" t="s">
        <v>144</v>
      </c>
      <c r="I652" s="2" t="s">
        <v>695</v>
      </c>
      <c r="J652" s="2" t="s">
        <v>2799</v>
      </c>
      <c r="K652" s="2" t="s">
        <v>147</v>
      </c>
      <c r="L652" s="2" t="s">
        <v>3176</v>
      </c>
      <c r="M652" s="2" t="s">
        <v>2706</v>
      </c>
      <c r="N652" s="2" t="s">
        <v>66</v>
      </c>
      <c r="O652" s="2" t="str">
        <f>_xlfn.IFNA(+VLOOKUP(Maestro_Clientes[[#This Row],[Zona]],Tabla1[[#All],[Cruce Reportes]:[ENTREGA ]],2,0),Maestro_Clientes[[#This Row],[Zona]])</f>
        <v>Expreso</v>
      </c>
      <c r="P652" s="2" t="str">
        <f>+VLOOKUP(Maestro_Clientes[[#This Row],[Entrega]],Preparacion!A:B,2,0)</f>
        <v>Expreso</v>
      </c>
    </row>
    <row r="653" spans="1:17" customFormat="1" x14ac:dyDescent="0.25">
      <c r="A653" s="2" t="s">
        <v>2403</v>
      </c>
      <c r="B653" s="2" t="s">
        <v>2399</v>
      </c>
      <c r="C653" s="2" t="s">
        <v>2400</v>
      </c>
      <c r="D653" s="2" t="s">
        <v>8</v>
      </c>
      <c r="E653" s="2" t="s">
        <v>2401</v>
      </c>
      <c r="F653" s="2">
        <v>1041</v>
      </c>
      <c r="G653" s="2" t="s">
        <v>1423</v>
      </c>
      <c r="H653" s="2" t="s">
        <v>630</v>
      </c>
      <c r="I653" s="2" t="s">
        <v>2402</v>
      </c>
      <c r="J653" s="2" t="s">
        <v>2892</v>
      </c>
      <c r="K653" s="2" t="s">
        <v>12</v>
      </c>
      <c r="L653" s="2" t="s">
        <v>630</v>
      </c>
      <c r="M653" s="2" t="s">
        <v>1424</v>
      </c>
      <c r="N653" s="2" t="s">
        <v>1425</v>
      </c>
      <c r="O653" s="2" t="s">
        <v>3155</v>
      </c>
      <c r="P653" s="2" t="str">
        <f>+VLOOKUP(Maestro_Clientes[[#This Row],[Entrega]],Preparacion!A:B,2,0)</f>
        <v>con turno</v>
      </c>
    </row>
    <row r="654" spans="1:17" customFormat="1" x14ac:dyDescent="0.25">
      <c r="A654" s="2" t="s">
        <v>4613</v>
      </c>
      <c r="B654" s="2" t="s">
        <v>4614</v>
      </c>
      <c r="C654" s="2" t="s">
        <v>4615</v>
      </c>
      <c r="D654" s="2" t="s">
        <v>8</v>
      </c>
      <c r="E654" s="2" t="s">
        <v>4616</v>
      </c>
      <c r="F654" s="2">
        <v>1025</v>
      </c>
      <c r="G654" s="2" t="s">
        <v>113</v>
      </c>
      <c r="H654" s="2" t="s">
        <v>144</v>
      </c>
      <c r="I654" s="2" t="s">
        <v>695</v>
      </c>
      <c r="J654" s="2" t="s">
        <v>2799</v>
      </c>
      <c r="K654" s="2" t="s">
        <v>147</v>
      </c>
      <c r="L654" s="2" t="s">
        <v>3009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3765</v>
      </c>
      <c r="B655" s="2" t="s">
        <v>3766</v>
      </c>
      <c r="C655" s="2" t="s">
        <v>3767</v>
      </c>
      <c r="D655" s="2" t="s">
        <v>8</v>
      </c>
      <c r="E655" s="2" t="s">
        <v>3768</v>
      </c>
      <c r="F655" s="2">
        <v>1025</v>
      </c>
      <c r="G655" s="2" t="s">
        <v>113</v>
      </c>
      <c r="H655" s="2" t="s">
        <v>2078</v>
      </c>
      <c r="I655" s="2" t="s">
        <v>2080</v>
      </c>
      <c r="J655" s="2" t="s">
        <v>2944</v>
      </c>
      <c r="K655" s="2" t="s">
        <v>2080</v>
      </c>
      <c r="L655" s="2" t="s">
        <v>3176</v>
      </c>
      <c r="M655" s="2" t="s">
        <v>118</v>
      </c>
      <c r="N655" s="2" t="s">
        <v>119</v>
      </c>
      <c r="O655" s="2" t="str">
        <f>_xlfn.IFNA(+VLOOKUP(Maestro_Clientes[[#This Row],[Zona]],Tabla1[[#All],[Cruce Reportes]:[ENTREGA ]],2,0),Maestro_Clientes[[#This Row],[Zona]])</f>
        <v>Expreso</v>
      </c>
      <c r="P655" s="2" t="str">
        <f>+VLOOKUP(Maestro_Clientes[[#This Row],[Entrega]],Preparacion!A:B,2,0)</f>
        <v>Expreso</v>
      </c>
    </row>
    <row r="656" spans="1:17" customFormat="1" x14ac:dyDescent="0.25">
      <c r="A656" s="2" t="s">
        <v>1600</v>
      </c>
      <c r="B656" s="2" t="s">
        <v>977</v>
      </c>
      <c r="C656" s="2" t="s">
        <v>978</v>
      </c>
      <c r="D656" s="2" t="s">
        <v>8</v>
      </c>
      <c r="E656" s="2" t="s">
        <v>1599</v>
      </c>
      <c r="F656" s="2">
        <v>1028</v>
      </c>
      <c r="G656" s="2" t="s">
        <v>81</v>
      </c>
      <c r="H656" s="2" t="s">
        <v>1598</v>
      </c>
      <c r="I656" s="2" t="s">
        <v>62</v>
      </c>
      <c r="J656" s="2" t="s">
        <v>2710</v>
      </c>
      <c r="K656" s="2" t="s">
        <v>63</v>
      </c>
      <c r="L656" s="2" t="s">
        <v>3023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LUNES</v>
      </c>
      <c r="P656" s="2" t="str">
        <f>+VLOOKUP(Maestro_Clientes[[#This Row],[Entrega]],Preparacion!A:B,2,0)</f>
        <v>JUEVES</v>
      </c>
      <c r="Q656" s="2"/>
    </row>
    <row r="657" spans="1:17" customFormat="1" x14ac:dyDescent="0.25">
      <c r="A657" s="2" t="s">
        <v>192</v>
      </c>
      <c r="B657" s="2" t="s">
        <v>188</v>
      </c>
      <c r="C657" s="2" t="s">
        <v>189</v>
      </c>
      <c r="D657" s="2" t="s">
        <v>8</v>
      </c>
      <c r="E657" s="2" t="s">
        <v>190</v>
      </c>
      <c r="F657" s="2">
        <v>1028</v>
      </c>
      <c r="G657" s="2" t="s">
        <v>81</v>
      </c>
      <c r="H657" s="2" t="s">
        <v>184</v>
      </c>
      <c r="I657" s="2" t="s">
        <v>191</v>
      </c>
      <c r="J657" s="2" t="s">
        <v>2730</v>
      </c>
      <c r="K657" s="2" t="s">
        <v>186</v>
      </c>
      <c r="L657" s="2" t="s">
        <v>3176</v>
      </c>
      <c r="M657" s="2" t="s">
        <v>87</v>
      </c>
      <c r="N657" s="2" t="s">
        <v>88</v>
      </c>
      <c r="O657" s="2" t="str">
        <f>_xlfn.IFNA(+VLOOKUP(Maestro_Clientes[[#This Row],[Zona]],Tabla1[[#All],[Cruce Reportes]:[ENTREGA ]],2,0),Maestro_Clientes[[#This Row],[Zona]])</f>
        <v>Expreso</v>
      </c>
      <c r="P657" s="2" t="str">
        <f>+VLOOKUP(Maestro_Clientes[[#This Row],[Entrega]],Preparacion!A:B,2,0)</f>
        <v>Expreso</v>
      </c>
    </row>
    <row r="658" spans="1:17" customFormat="1" x14ac:dyDescent="0.25">
      <c r="A658" s="2" t="s">
        <v>951</v>
      </c>
      <c r="B658" s="2" t="s">
        <v>942</v>
      </c>
      <c r="C658" s="2" t="s">
        <v>943</v>
      </c>
      <c r="D658" s="2" t="s">
        <v>8</v>
      </c>
      <c r="E658" s="2" t="s">
        <v>949</v>
      </c>
      <c r="F658" s="2">
        <v>1001</v>
      </c>
      <c r="G658" s="2" t="s">
        <v>9</v>
      </c>
      <c r="H658" s="2" t="s">
        <v>948</v>
      </c>
      <c r="I658" s="2" t="s">
        <v>62</v>
      </c>
      <c r="J658" s="2" t="s">
        <v>2831</v>
      </c>
      <c r="K658" s="2" t="s">
        <v>63</v>
      </c>
      <c r="L658" s="2" t="s">
        <v>3023</v>
      </c>
      <c r="M658" s="2" t="s">
        <v>14</v>
      </c>
      <c r="N658" s="2" t="s">
        <v>15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1678</v>
      </c>
      <c r="B659" s="2" t="s">
        <v>1674</v>
      </c>
      <c r="C659" s="2" t="s">
        <v>1675</v>
      </c>
      <c r="D659" s="2" t="s">
        <v>8</v>
      </c>
      <c r="E659" s="2" t="s">
        <v>1677</v>
      </c>
      <c r="F659" s="2">
        <v>1028</v>
      </c>
      <c r="G659" s="2" t="s">
        <v>81</v>
      </c>
      <c r="H659" s="2" t="s">
        <v>1676</v>
      </c>
      <c r="I659" s="2" t="s">
        <v>63</v>
      </c>
      <c r="J659" s="2" t="s">
        <v>2904</v>
      </c>
      <c r="K659" s="2" t="s">
        <v>63</v>
      </c>
      <c r="L659" s="2" t="s">
        <v>3023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LUNES</v>
      </c>
      <c r="P659" s="2" t="str">
        <f>+VLOOKUP(Maestro_Clientes[[#This Row],[Entrega]],Preparacion!A:B,2,0)</f>
        <v>JUEVES</v>
      </c>
      <c r="Q659" s="2"/>
    </row>
    <row r="660" spans="1:17" customFormat="1" x14ac:dyDescent="0.25">
      <c r="A660" s="2" t="s">
        <v>4081</v>
      </c>
      <c r="B660" s="2" t="s">
        <v>4082</v>
      </c>
      <c r="C660" s="2" t="s">
        <v>4083</v>
      </c>
      <c r="D660" s="2" t="s">
        <v>8</v>
      </c>
      <c r="E660" s="2" t="s">
        <v>4084</v>
      </c>
      <c r="F660" s="2">
        <v>1028</v>
      </c>
      <c r="G660" s="2" t="s">
        <v>81</v>
      </c>
      <c r="H660" s="2" t="s">
        <v>4085</v>
      </c>
      <c r="I660" s="2" t="s">
        <v>3592</v>
      </c>
      <c r="J660" s="2" t="s">
        <v>3593</v>
      </c>
      <c r="K660" s="2" t="s">
        <v>12</v>
      </c>
      <c r="L660" s="2" t="s">
        <v>3176</v>
      </c>
      <c r="M660" s="2" t="s">
        <v>87</v>
      </c>
      <c r="N660" s="2" t="s">
        <v>88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2580</v>
      </c>
      <c r="B661" s="2" t="s">
        <v>2577</v>
      </c>
      <c r="C661" s="2" t="s">
        <v>2578</v>
      </c>
      <c r="D661" s="2" t="s">
        <v>8</v>
      </c>
      <c r="E661" s="2" t="s">
        <v>2579</v>
      </c>
      <c r="F661" s="2">
        <v>1025</v>
      </c>
      <c r="G661" s="2" t="s">
        <v>113</v>
      </c>
      <c r="H661" s="2" t="s">
        <v>3181</v>
      </c>
      <c r="I661" s="2" t="s">
        <v>1295</v>
      </c>
      <c r="J661" s="2" t="s">
        <v>2866</v>
      </c>
      <c r="K661" s="2" t="s">
        <v>243</v>
      </c>
      <c r="L661" s="2" t="s">
        <v>3176</v>
      </c>
      <c r="M661" s="2" t="s">
        <v>118</v>
      </c>
      <c r="N661" s="2" t="s">
        <v>119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4621</v>
      </c>
      <c r="B662" s="2" t="s">
        <v>4622</v>
      </c>
      <c r="C662" s="2" t="s">
        <v>4623</v>
      </c>
      <c r="D662" s="2" t="s">
        <v>8</v>
      </c>
      <c r="E662" s="2" t="s">
        <v>4624</v>
      </c>
      <c r="F662" s="2">
        <v>1014</v>
      </c>
      <c r="G662" s="2" t="s">
        <v>59</v>
      </c>
      <c r="H662" s="2" t="s">
        <v>195</v>
      </c>
      <c r="I662" s="2" t="s">
        <v>4625</v>
      </c>
      <c r="J662" s="2" t="s">
        <v>4626</v>
      </c>
      <c r="K662" s="2" t="s">
        <v>197</v>
      </c>
      <c r="L662" s="2" t="s">
        <v>3009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671</v>
      </c>
      <c r="B663" s="2" t="s">
        <v>667</v>
      </c>
      <c r="C663" s="2" t="s">
        <v>668</v>
      </c>
      <c r="D663" s="2" t="s">
        <v>8</v>
      </c>
      <c r="E663" s="2" t="s">
        <v>670</v>
      </c>
      <c r="F663" s="2">
        <v>1014</v>
      </c>
      <c r="G663" s="2" t="s">
        <v>59</v>
      </c>
      <c r="H663" s="2" t="s">
        <v>669</v>
      </c>
      <c r="I663" s="2" t="s">
        <v>209</v>
      </c>
      <c r="J663" s="2" t="s">
        <v>2733</v>
      </c>
      <c r="K663" s="2" t="s">
        <v>12</v>
      </c>
      <c r="L663" s="2" t="s">
        <v>3176</v>
      </c>
      <c r="M663" s="2" t="s">
        <v>2706</v>
      </c>
      <c r="N663" s="2" t="s">
        <v>66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2125</v>
      </c>
      <c r="B664" s="2" t="s">
        <v>667</v>
      </c>
      <c r="C664" s="2" t="s">
        <v>668</v>
      </c>
      <c r="D664" s="2" t="s">
        <v>8</v>
      </c>
      <c r="E664" s="2" t="s">
        <v>2124</v>
      </c>
      <c r="F664" s="2">
        <v>0</v>
      </c>
      <c r="G664" s="2" t="s">
        <v>3176</v>
      </c>
      <c r="H664" s="2" t="s">
        <v>140</v>
      </c>
      <c r="I664" s="2" t="s">
        <v>140</v>
      </c>
      <c r="J664" s="2" t="s">
        <v>2722</v>
      </c>
      <c r="K664" s="2" t="s">
        <v>140</v>
      </c>
      <c r="L664" s="2" t="s">
        <v>3176</v>
      </c>
      <c r="M664" s="2" t="s">
        <v>2706</v>
      </c>
      <c r="N664" s="2" t="s">
        <v>2706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3774</v>
      </c>
      <c r="B665" s="2" t="s">
        <v>3775</v>
      </c>
      <c r="C665" s="2" t="s">
        <v>3776</v>
      </c>
      <c r="D665" s="2" t="s">
        <v>8</v>
      </c>
      <c r="E665" s="2" t="s">
        <v>3777</v>
      </c>
      <c r="F665" s="2">
        <v>1025</v>
      </c>
      <c r="G665" s="2" t="s">
        <v>113</v>
      </c>
      <c r="H665" s="2" t="s">
        <v>195</v>
      </c>
      <c r="I665" s="2" t="s">
        <v>3778</v>
      </c>
      <c r="J665" s="2" t="s">
        <v>3779</v>
      </c>
      <c r="K665" s="2" t="s">
        <v>197</v>
      </c>
      <c r="L665" s="2" t="s">
        <v>3176</v>
      </c>
      <c r="M665" s="2" t="s">
        <v>118</v>
      </c>
      <c r="N665" s="2" t="s">
        <v>119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customFormat="1" x14ac:dyDescent="0.25">
      <c r="A666" s="2" t="s">
        <v>4600</v>
      </c>
      <c r="B666" s="2" t="s">
        <v>4601</v>
      </c>
      <c r="C666" s="2" t="s">
        <v>4602</v>
      </c>
      <c r="D666" s="2" t="s">
        <v>8</v>
      </c>
      <c r="E666" s="2" t="s">
        <v>4603</v>
      </c>
      <c r="F666" s="2">
        <v>1014</v>
      </c>
      <c r="G666" s="2" t="s">
        <v>59</v>
      </c>
      <c r="H666" s="2" t="s">
        <v>1524</v>
      </c>
      <c r="I666" s="2" t="s">
        <v>4604</v>
      </c>
      <c r="J666" s="2" t="s">
        <v>2772</v>
      </c>
      <c r="K666" s="2" t="s">
        <v>186</v>
      </c>
      <c r="L666" s="2" t="s">
        <v>3009</v>
      </c>
      <c r="M666" s="2" t="s">
        <v>2706</v>
      </c>
      <c r="N666" s="2" t="s">
        <v>66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</row>
    <row r="667" spans="1:17" x14ac:dyDescent="0.25">
      <c r="A667" s="2" t="s">
        <v>4605</v>
      </c>
      <c r="B667" s="2" t="s">
        <v>4606</v>
      </c>
      <c r="C667" s="2" t="s">
        <v>4607</v>
      </c>
      <c r="D667" s="2" t="s">
        <v>8</v>
      </c>
      <c r="E667" s="2" t="s">
        <v>4608</v>
      </c>
      <c r="F667" s="2">
        <v>1028</v>
      </c>
      <c r="G667" s="2" t="s">
        <v>81</v>
      </c>
      <c r="H667" s="2" t="s">
        <v>1137</v>
      </c>
      <c r="I667" s="2" t="s">
        <v>1050</v>
      </c>
      <c r="J667" s="2" t="s">
        <v>2843</v>
      </c>
      <c r="K667" s="2" t="s">
        <v>531</v>
      </c>
      <c r="L667" s="2" t="s">
        <v>3009</v>
      </c>
      <c r="M667" s="2" t="s">
        <v>87</v>
      </c>
      <c r="N667" s="2" t="s">
        <v>88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  <c r="Q667"/>
    </row>
    <row r="668" spans="1:17" customFormat="1" x14ac:dyDescent="0.25">
      <c r="A668" s="2" t="s">
        <v>4130</v>
      </c>
      <c r="B668" s="2" t="s">
        <v>4131</v>
      </c>
      <c r="C668" s="2" t="s">
        <v>4132</v>
      </c>
      <c r="D668" s="2" t="s">
        <v>8</v>
      </c>
      <c r="E668" s="2" t="s">
        <v>4133</v>
      </c>
      <c r="F668" s="2">
        <v>1025</v>
      </c>
      <c r="G668" s="2" t="s">
        <v>113</v>
      </c>
      <c r="H668" s="2" t="s">
        <v>775</v>
      </c>
      <c r="I668" s="2" t="s">
        <v>775</v>
      </c>
      <c r="J668" s="2" t="s">
        <v>2811</v>
      </c>
      <c r="K668" s="2" t="s">
        <v>12</v>
      </c>
      <c r="L668" s="2" t="s">
        <v>3176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4617</v>
      </c>
      <c r="B669" s="2" t="s">
        <v>4618</v>
      </c>
      <c r="C669" s="2" t="s">
        <v>4619</v>
      </c>
      <c r="D669" s="2" t="s">
        <v>8</v>
      </c>
      <c r="E669" s="2" t="s">
        <v>4620</v>
      </c>
      <c r="F669" s="2">
        <v>1025</v>
      </c>
      <c r="G669" s="2" t="s">
        <v>113</v>
      </c>
      <c r="H669" s="2" t="s">
        <v>166</v>
      </c>
      <c r="I669" s="2" t="s">
        <v>168</v>
      </c>
      <c r="J669" s="2" t="s">
        <v>2727</v>
      </c>
      <c r="K669" s="2" t="s">
        <v>169</v>
      </c>
      <c r="L669" s="2" t="s">
        <v>3009</v>
      </c>
      <c r="M669" s="2" t="s">
        <v>118</v>
      </c>
      <c r="N669" s="2" t="s">
        <v>119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2191</v>
      </c>
      <c r="B670" s="2" t="s">
        <v>2187</v>
      </c>
      <c r="C670" s="2" t="s">
        <v>2188</v>
      </c>
      <c r="D670" s="2" t="s">
        <v>8</v>
      </c>
      <c r="E670" s="2" t="s">
        <v>2190</v>
      </c>
      <c r="F670" s="2">
        <v>1028</v>
      </c>
      <c r="G670" s="2" t="s">
        <v>81</v>
      </c>
      <c r="H670" s="2" t="s">
        <v>2189</v>
      </c>
      <c r="I670" s="2" t="s">
        <v>1412</v>
      </c>
      <c r="J670" s="2" t="s">
        <v>2955</v>
      </c>
      <c r="K670" s="2" t="s">
        <v>12</v>
      </c>
      <c r="L670" s="2" t="s">
        <v>3176</v>
      </c>
      <c r="M670" s="2" t="s">
        <v>87</v>
      </c>
      <c r="N670" s="2" t="s">
        <v>88</v>
      </c>
      <c r="O670" s="2" t="str">
        <f>_xlfn.IFNA(+VLOOKUP(Maestro_Clientes[[#This Row],[Zona]],Tabla1[[#All],[Cruce Reportes]:[ENTREGA ]],2,0),Maestro_Clientes[[#This Row],[Zona]])</f>
        <v>Expreso</v>
      </c>
      <c r="P670" s="2" t="str">
        <f>+VLOOKUP(Maestro_Clientes[[#This Row],[Entrega]],Preparacion!A:B,2,0)</f>
        <v>Expreso</v>
      </c>
    </row>
    <row r="671" spans="1:17" customFormat="1" x14ac:dyDescent="0.25">
      <c r="A671" s="2" t="s">
        <v>98</v>
      </c>
      <c r="B671" s="2" t="s">
        <v>94</v>
      </c>
      <c r="C671" s="2" t="s">
        <v>95</v>
      </c>
      <c r="D671" s="2" t="s">
        <v>8</v>
      </c>
      <c r="E671" s="2" t="s">
        <v>97</v>
      </c>
      <c r="F671" s="2">
        <v>1014</v>
      </c>
      <c r="G671" s="2" t="s">
        <v>59</v>
      </c>
      <c r="H671" s="2" t="s">
        <v>96</v>
      </c>
      <c r="I671" s="2" t="s">
        <v>96</v>
      </c>
      <c r="J671" s="2" t="s">
        <v>2715</v>
      </c>
      <c r="K671" s="2" t="s">
        <v>12</v>
      </c>
      <c r="L671" s="2" t="s">
        <v>20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MARTES</v>
      </c>
      <c r="P671" s="2" t="str">
        <f>+VLOOKUP(Maestro_Clientes[[#This Row],[Entrega]],Preparacion!A:B,2,0)</f>
        <v>VIERNES</v>
      </c>
    </row>
    <row r="672" spans="1:17" customFormat="1" x14ac:dyDescent="0.25">
      <c r="A672" s="2" t="s">
        <v>1292</v>
      </c>
      <c r="B672" s="2" t="s">
        <v>1288</v>
      </c>
      <c r="C672" s="2" t="s">
        <v>1289</v>
      </c>
      <c r="D672" s="2" t="s">
        <v>8</v>
      </c>
      <c r="E672" s="2" t="s">
        <v>1290</v>
      </c>
      <c r="F672" s="2">
        <v>1014</v>
      </c>
      <c r="G672" s="2" t="s">
        <v>59</v>
      </c>
      <c r="H672" s="2" t="s">
        <v>229</v>
      </c>
      <c r="I672" s="2" t="s">
        <v>1291</v>
      </c>
      <c r="J672" s="2" t="s">
        <v>2865</v>
      </c>
      <c r="K672" s="2" t="s">
        <v>126</v>
      </c>
      <c r="L672" s="2" t="s">
        <v>3176</v>
      </c>
      <c r="M672" s="2" t="s">
        <v>2706</v>
      </c>
      <c r="N672" s="2" t="s">
        <v>66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customFormat="1" x14ac:dyDescent="0.25">
      <c r="A673" s="2" t="s">
        <v>2042</v>
      </c>
      <c r="B673" s="2" t="s">
        <v>2039</v>
      </c>
      <c r="C673" s="2" t="s">
        <v>2040</v>
      </c>
      <c r="D673" s="2" t="s">
        <v>8</v>
      </c>
      <c r="E673" s="2" t="s">
        <v>2041</v>
      </c>
      <c r="F673" s="2">
        <v>1025</v>
      </c>
      <c r="G673" s="2" t="s">
        <v>113</v>
      </c>
      <c r="H673" s="2" t="s">
        <v>649</v>
      </c>
      <c r="I673" s="2" t="s">
        <v>649</v>
      </c>
      <c r="J673" s="2" t="s">
        <v>2796</v>
      </c>
      <c r="K673" s="2" t="s">
        <v>12</v>
      </c>
      <c r="L673" s="2" t="s">
        <v>3176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Expreso</v>
      </c>
      <c r="P673" s="2" t="str">
        <f>+VLOOKUP(Maestro_Clientes[[#This Row],[Entrega]],Preparacion!A:B,2,0)</f>
        <v>Expreso</v>
      </c>
    </row>
    <row r="674" spans="1:17" x14ac:dyDescent="0.25">
      <c r="A674" s="2" t="s">
        <v>2665</v>
      </c>
      <c r="B674" s="2" t="s">
        <v>2660</v>
      </c>
      <c r="C674" s="2" t="s">
        <v>2661</v>
      </c>
      <c r="D674" s="2" t="s">
        <v>8</v>
      </c>
      <c r="E674" s="2" t="s">
        <v>2663</v>
      </c>
      <c r="F674" s="2">
        <v>1025</v>
      </c>
      <c r="G674" s="2" t="s">
        <v>113</v>
      </c>
      <c r="H674" s="2" t="s">
        <v>2662</v>
      </c>
      <c r="I674" s="2" t="s">
        <v>2664</v>
      </c>
      <c r="J674" s="2" t="s">
        <v>3001</v>
      </c>
      <c r="K674" s="2" t="s">
        <v>63</v>
      </c>
      <c r="L674" s="2" t="s">
        <v>3023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LUNES</v>
      </c>
      <c r="P674" s="2" t="str">
        <f>+VLOOKUP(Maestro_Clientes[[#This Row],[Entrega]],Preparacion!A:B,2,0)</f>
        <v>JUEVES</v>
      </c>
    </row>
    <row r="675" spans="1:17" customFormat="1" x14ac:dyDescent="0.25">
      <c r="A675" s="2" t="s">
        <v>4125</v>
      </c>
      <c r="B675" s="2" t="s">
        <v>4126</v>
      </c>
      <c r="C675" s="2" t="s">
        <v>4127</v>
      </c>
      <c r="D675" s="2" t="s">
        <v>8</v>
      </c>
      <c r="E675" s="2" t="s">
        <v>4128</v>
      </c>
      <c r="F675" s="2">
        <v>1025</v>
      </c>
      <c r="G675" s="2" t="s">
        <v>113</v>
      </c>
      <c r="H675" s="2" t="s">
        <v>4129</v>
      </c>
      <c r="I675" s="2" t="s">
        <v>1454</v>
      </c>
      <c r="J675" s="2" t="s">
        <v>2885</v>
      </c>
      <c r="K675" s="2" t="s">
        <v>12</v>
      </c>
      <c r="L675" s="2" t="s">
        <v>3176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Expreso</v>
      </c>
      <c r="P675" s="2" t="str">
        <f>+VLOOKUP(Maestro_Clientes[[#This Row],[Entrega]],Preparacion!A:B,2,0)</f>
        <v>Expreso</v>
      </c>
    </row>
    <row r="676" spans="1:17" customFormat="1" x14ac:dyDescent="0.25">
      <c r="A676" s="2" t="s">
        <v>2669</v>
      </c>
      <c r="B676" s="2" t="s">
        <v>2666</v>
      </c>
      <c r="C676" s="2" t="s">
        <v>2667</v>
      </c>
      <c r="D676" s="2" t="s">
        <v>8</v>
      </c>
      <c r="E676" s="2" t="s">
        <v>2668</v>
      </c>
      <c r="F676" s="2">
        <v>1025</v>
      </c>
      <c r="G676" s="2" t="s">
        <v>113</v>
      </c>
      <c r="H676" s="2" t="s">
        <v>2662</v>
      </c>
      <c r="I676" s="2" t="s">
        <v>62</v>
      </c>
      <c r="J676" s="2" t="s">
        <v>3002</v>
      </c>
      <c r="K676" s="2" t="s">
        <v>63</v>
      </c>
      <c r="L676" s="2" t="s">
        <v>3023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LUNES</v>
      </c>
      <c r="P676" s="2" t="str">
        <f>+VLOOKUP(Maestro_Clientes[[#This Row],[Entrega]],Preparacion!A:B,2,0)</f>
        <v>JUEVES</v>
      </c>
      <c r="Q676" s="2"/>
    </row>
    <row r="677" spans="1:17" x14ac:dyDescent="0.25">
      <c r="A677" s="2" t="s">
        <v>3760</v>
      </c>
      <c r="B677" s="2" t="s">
        <v>3761</v>
      </c>
      <c r="C677" s="2" t="s">
        <v>3762</v>
      </c>
      <c r="D677" s="2" t="s">
        <v>8</v>
      </c>
      <c r="E677" s="2" t="s">
        <v>3763</v>
      </c>
      <c r="F677" s="2">
        <v>1025</v>
      </c>
      <c r="G677" s="2" t="s">
        <v>113</v>
      </c>
      <c r="H677" s="2" t="s">
        <v>3764</v>
      </c>
      <c r="I677" s="2" t="s">
        <v>126</v>
      </c>
      <c r="J677" s="2" t="s">
        <v>2725</v>
      </c>
      <c r="K677" s="2" t="s">
        <v>126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  <c r="Q677"/>
    </row>
    <row r="678" spans="1:17" customFormat="1" x14ac:dyDescent="0.25">
      <c r="A678" s="2" t="s">
        <v>2087</v>
      </c>
      <c r="B678" s="2" t="s">
        <v>2082</v>
      </c>
      <c r="C678" s="2" t="s">
        <v>2083</v>
      </c>
      <c r="D678" s="2" t="s">
        <v>8</v>
      </c>
      <c r="E678" s="2" t="s">
        <v>2085</v>
      </c>
      <c r="F678" s="2">
        <v>1025</v>
      </c>
      <c r="G678" s="2" t="s">
        <v>113</v>
      </c>
      <c r="H678" s="2" t="s">
        <v>2084</v>
      </c>
      <c r="I678" s="2" t="s">
        <v>2086</v>
      </c>
      <c r="J678" s="2" t="s">
        <v>2945</v>
      </c>
      <c r="K678" s="2" t="s">
        <v>310</v>
      </c>
      <c r="L678" s="2" t="s">
        <v>3176</v>
      </c>
      <c r="M678" s="2" t="s">
        <v>118</v>
      </c>
      <c r="N678" s="2" t="s">
        <v>119</v>
      </c>
      <c r="O678" s="2" t="str">
        <f>_xlfn.IFNA(+VLOOKUP(Maestro_Clientes[[#This Row],[Zona]],Tabla1[[#All],[Cruce Reportes]:[ENTREGA ]],2,0),Maestro_Clientes[[#This Row],[Zona]])</f>
        <v>Expreso</v>
      </c>
      <c r="P678" s="2" t="str">
        <f>+VLOOKUP(Maestro_Clientes[[#This Row],[Entrega]],Preparacion!A:B,2,0)</f>
        <v>Expreso</v>
      </c>
    </row>
    <row r="679" spans="1:17" customFormat="1" x14ac:dyDescent="0.25">
      <c r="A679" s="2" t="s">
        <v>4643</v>
      </c>
      <c r="B679" s="2" t="s">
        <v>4644</v>
      </c>
      <c r="C679" s="2" t="s">
        <v>4645</v>
      </c>
      <c r="D679" s="2" t="s">
        <v>8</v>
      </c>
      <c r="E679" s="2" t="s">
        <v>4646</v>
      </c>
      <c r="F679" s="2">
        <v>1034</v>
      </c>
      <c r="G679" s="2" t="s">
        <v>158</v>
      </c>
      <c r="H679" s="2" t="s">
        <v>2662</v>
      </c>
      <c r="I679" s="2" t="s">
        <v>4647</v>
      </c>
      <c r="J679" s="2" t="s">
        <v>2830</v>
      </c>
      <c r="K679" s="2" t="s">
        <v>63</v>
      </c>
      <c r="L679" s="2" t="s">
        <v>3023</v>
      </c>
      <c r="M679" s="2" t="s">
        <v>2706</v>
      </c>
      <c r="N679" s="2" t="s">
        <v>163</v>
      </c>
      <c r="O679" s="2" t="str">
        <f>_xlfn.IFNA(+VLOOKUP(Maestro_Clientes[[#This Row],[Zona]],Tabla1[[#All],[Cruce Reportes]:[ENTREGA ]],2,0),Maestro_Clientes[[#This Row],[Zona]])</f>
        <v>LUNES</v>
      </c>
      <c r="P679" s="2" t="str">
        <f>+VLOOKUP(Maestro_Clientes[[#This Row],[Entrega]],Preparacion!A:B,2,0)</f>
        <v>JUEVES</v>
      </c>
      <c r="Q679" s="2"/>
    </row>
    <row r="680" spans="1:17" customFormat="1" x14ac:dyDescent="0.25">
      <c r="A680" s="2" t="s">
        <v>3754</v>
      </c>
      <c r="B680" s="2" t="s">
        <v>3755</v>
      </c>
      <c r="C680" s="2" t="s">
        <v>3756</v>
      </c>
      <c r="D680" s="2" t="s">
        <v>8</v>
      </c>
      <c r="E680" s="2" t="s">
        <v>3757</v>
      </c>
      <c r="F680" s="2">
        <v>1025</v>
      </c>
      <c r="G680" s="2" t="s">
        <v>113</v>
      </c>
      <c r="H680" s="2" t="s">
        <v>144</v>
      </c>
      <c r="I680" s="2" t="s">
        <v>3758</v>
      </c>
      <c r="J680" s="2" t="s">
        <v>3759</v>
      </c>
      <c r="K680" s="2" t="s">
        <v>147</v>
      </c>
      <c r="L680" s="2" t="s">
        <v>3176</v>
      </c>
      <c r="M680" s="2" t="s">
        <v>118</v>
      </c>
      <c r="N680" s="2" t="s">
        <v>119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1385</v>
      </c>
      <c r="B681" s="2" t="s">
        <v>1380</v>
      </c>
      <c r="C681" s="2" t="s">
        <v>1381</v>
      </c>
      <c r="D681" s="2" t="s">
        <v>8</v>
      </c>
      <c r="E681" s="2" t="s">
        <v>1383</v>
      </c>
      <c r="F681" s="2">
        <v>1001</v>
      </c>
      <c r="G681" s="2" t="s">
        <v>9</v>
      </c>
      <c r="H681" s="2" t="s">
        <v>1382</v>
      </c>
      <c r="I681" s="2" t="s">
        <v>1384</v>
      </c>
      <c r="J681" s="2" t="s">
        <v>2878</v>
      </c>
      <c r="K681" s="2" t="s">
        <v>12</v>
      </c>
      <c r="L681" s="2" t="s">
        <v>3176</v>
      </c>
      <c r="M681" s="2" t="s">
        <v>14</v>
      </c>
      <c r="N681" s="2" t="s">
        <v>15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customFormat="1" x14ac:dyDescent="0.25">
      <c r="A682" s="2" t="s">
        <v>4627</v>
      </c>
      <c r="B682" s="2" t="s">
        <v>4628</v>
      </c>
      <c r="C682" s="2" t="s">
        <v>4629</v>
      </c>
      <c r="D682" s="2" t="s">
        <v>8</v>
      </c>
      <c r="E682" s="2" t="s">
        <v>4630</v>
      </c>
      <c r="F682" s="2">
        <v>1014</v>
      </c>
      <c r="G682" s="2" t="s">
        <v>59</v>
      </c>
      <c r="H682" s="2" t="s">
        <v>4631</v>
      </c>
      <c r="I682" s="2" t="s">
        <v>186</v>
      </c>
      <c r="J682" s="2" t="s">
        <v>4632</v>
      </c>
      <c r="K682" s="2" t="s">
        <v>186</v>
      </c>
      <c r="L682" s="2" t="s">
        <v>3009</v>
      </c>
      <c r="M682" s="2" t="s">
        <v>2706</v>
      </c>
      <c r="N682" s="2" t="s">
        <v>66</v>
      </c>
      <c r="O682" s="2" t="str">
        <f>_xlfn.IFNA(+VLOOKUP(Maestro_Clientes[[#This Row],[Zona]],Tabla1[[#All],[Cruce Reportes]:[ENTREGA ]],2,0),Maestro_Clientes[[#This Row],[Zona]])</f>
        <v>EXPRESO</v>
      </c>
      <c r="P682" s="2" t="str">
        <f>+VLOOKUP(Maestro_Clientes[[#This Row],[Entrega]],Preparacion!A:B,2,0)</f>
        <v>Expreso</v>
      </c>
    </row>
    <row r="683" spans="1:17" x14ac:dyDescent="0.25">
      <c r="A683" s="2" t="s">
        <v>972</v>
      </c>
      <c r="B683" s="2" t="s">
        <v>968</v>
      </c>
      <c r="C683" s="2" t="s">
        <v>969</v>
      </c>
      <c r="D683" s="2" t="s">
        <v>8</v>
      </c>
      <c r="E683" s="2" t="s">
        <v>971</v>
      </c>
      <c r="F683" s="2">
        <v>1002</v>
      </c>
      <c r="G683" s="2" t="s">
        <v>34</v>
      </c>
      <c r="H683" s="2" t="s">
        <v>970</v>
      </c>
      <c r="I683" s="2" t="s">
        <v>970</v>
      </c>
      <c r="J683" s="2" t="s">
        <v>2834</v>
      </c>
      <c r="K683" s="2" t="s">
        <v>12</v>
      </c>
      <c r="L683" s="2" t="s">
        <v>77</v>
      </c>
      <c r="M683" s="2" t="s">
        <v>39</v>
      </c>
      <c r="N683" s="2" t="s">
        <v>40</v>
      </c>
      <c r="O683" s="2" t="str">
        <f>_xlfn.IFNA(+VLOOKUP(Maestro_Clientes[[#This Row],[Zona]],Tabla1[[#All],[Cruce Reportes]:[ENTREGA ]],2,0),Maestro_Clientes[[#This Row],[Zona]])</f>
        <v>LUNES</v>
      </c>
      <c r="P683" s="2" t="str">
        <f>+VLOOKUP(Maestro_Clientes[[#This Row],[Entrega]],Preparacion!A:B,2,0)</f>
        <v>JUEVES</v>
      </c>
    </row>
    <row r="684" spans="1:17" x14ac:dyDescent="0.25">
      <c r="A684" s="2" t="s">
        <v>5124</v>
      </c>
      <c r="B684" s="2" t="s">
        <v>5129</v>
      </c>
      <c r="C684" s="2" t="s">
        <v>5133</v>
      </c>
      <c r="D684" s="2" t="s">
        <v>8</v>
      </c>
      <c r="O684" s="2" t="s">
        <v>3176</v>
      </c>
      <c r="P684" s="2" t="str">
        <f>+VLOOKUP(Maestro_Clientes[[#This Row],[Entrega]],Preparacion!A:B,2,0)</f>
        <v>Expreso</v>
      </c>
      <c r="Q684"/>
    </row>
    <row r="685" spans="1:17" customFormat="1" x14ac:dyDescent="0.25">
      <c r="A685" s="2" t="s">
        <v>1476</v>
      </c>
      <c r="B685" s="2" t="s">
        <v>1473</v>
      </c>
      <c r="C685" s="2" t="s">
        <v>1474</v>
      </c>
      <c r="D685" s="2" t="s">
        <v>8</v>
      </c>
      <c r="E685" s="2" t="s">
        <v>1475</v>
      </c>
      <c r="F685" s="2">
        <v>1002</v>
      </c>
      <c r="G685" s="2" t="s">
        <v>34</v>
      </c>
      <c r="H685" s="2" t="s">
        <v>173</v>
      </c>
      <c r="I685" s="2" t="s">
        <v>522</v>
      </c>
      <c r="J685" s="2" t="s">
        <v>2778</v>
      </c>
      <c r="K685" s="2" t="s">
        <v>281</v>
      </c>
      <c r="L685" s="2" t="s">
        <v>3176</v>
      </c>
      <c r="M685" s="2" t="s">
        <v>39</v>
      </c>
      <c r="N685" s="2" t="s">
        <v>40</v>
      </c>
      <c r="O685" s="2" t="str">
        <f>_xlfn.IFNA(+VLOOKUP(Maestro_Clientes[[#This Row],[Zona]],Tabla1[[#All],[Cruce Reportes]:[ENTREGA ]],2,0),Maestro_Clientes[[#This Row],[Zona]])</f>
        <v>Expreso</v>
      </c>
      <c r="P685" s="2" t="str">
        <f>+VLOOKUP(Maestro_Clientes[[#This Row],[Entrega]],Preparacion!A:B,2,0)</f>
        <v>Expreso</v>
      </c>
    </row>
    <row r="686" spans="1:17" customFormat="1" x14ac:dyDescent="0.25">
      <c r="A686" s="2" t="s">
        <v>3446</v>
      </c>
      <c r="B686" s="2" t="s">
        <v>3447</v>
      </c>
      <c r="C686" s="2" t="s">
        <v>3448</v>
      </c>
      <c r="D686" s="2" t="s">
        <v>8</v>
      </c>
      <c r="E686" s="2" t="s">
        <v>3449</v>
      </c>
      <c r="F686" s="2">
        <v>1018</v>
      </c>
      <c r="G686" s="2" t="s">
        <v>1886</v>
      </c>
      <c r="H686" s="2" t="s">
        <v>2662</v>
      </c>
      <c r="I686" s="2" t="s">
        <v>63</v>
      </c>
      <c r="J686" s="2" t="s">
        <v>2861</v>
      </c>
      <c r="K686" s="2" t="s">
        <v>63</v>
      </c>
      <c r="L686" s="2" t="s">
        <v>3023</v>
      </c>
      <c r="M686" s="2" t="s">
        <v>1887</v>
      </c>
      <c r="N686" s="2" t="s">
        <v>1888</v>
      </c>
      <c r="O686" s="2" t="str">
        <f>_xlfn.IFNA(+VLOOKUP(Maestro_Clientes[[#This Row],[Zona]],Tabla1[[#All],[Cruce Reportes]:[ENTREGA ]],2,0),Maestro_Clientes[[#This Row],[Zona]])</f>
        <v>LUNES</v>
      </c>
      <c r="P686" s="2" t="str">
        <f>+VLOOKUP(Maestro_Clientes[[#This Row],[Entrega]],Preparacion!A:B,2,0)</f>
        <v>JUEVES</v>
      </c>
      <c r="Q686" s="2"/>
    </row>
    <row r="687" spans="1:17" customFormat="1" x14ac:dyDescent="0.25">
      <c r="A687" s="2" t="s">
        <v>5113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5135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5154</v>
      </c>
      <c r="B689" s="2" t="s">
        <v>1674</v>
      </c>
      <c r="C689" s="2" t="s">
        <v>1675</v>
      </c>
      <c r="D689" s="2" t="s">
        <v>8</v>
      </c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 t="s">
        <v>3068</v>
      </c>
      <c r="P689" s="2" t="str">
        <f>+VLOOKUP(Maestro_Clientes[[#This Row],[Entrega]],Preparacion!A:B,2,0)</f>
        <v>VIERNES</v>
      </c>
      <c r="Q689" s="2"/>
    </row>
    <row r="690" spans="1:17" customFormat="1" x14ac:dyDescent="0.25">
      <c r="A690" s="2" t="s">
        <v>198</v>
      </c>
      <c r="B690" s="2" t="s">
        <v>193</v>
      </c>
      <c r="C690" s="2" t="s">
        <v>194</v>
      </c>
      <c r="D690" s="2" t="s">
        <v>8</v>
      </c>
      <c r="E690" s="2" t="s">
        <v>196</v>
      </c>
      <c r="F690" s="2">
        <v>1014</v>
      </c>
      <c r="G690" s="2" t="s">
        <v>59</v>
      </c>
      <c r="H690" s="2" t="s">
        <v>195</v>
      </c>
      <c r="I690" s="2" t="s">
        <v>197</v>
      </c>
      <c r="J690" s="2" t="s">
        <v>2731</v>
      </c>
      <c r="K690" s="2" t="s">
        <v>197</v>
      </c>
      <c r="L690" s="2" t="s">
        <v>3176</v>
      </c>
      <c r="M690" s="2" t="s">
        <v>2706</v>
      </c>
      <c r="N690" s="2" t="s">
        <v>66</v>
      </c>
      <c r="O690" s="2" t="str">
        <f>_xlfn.IFNA(+VLOOKUP(Maestro_Clientes[[#This Row],[Zona]],Tabla1[[#All],[Cruce Reportes]:[ENTREGA ]],2,0),Maestro_Clientes[[#This Row],[Zona]])</f>
        <v>Expreso</v>
      </c>
      <c r="P690" s="2" t="str">
        <f>+VLOOKUP(Maestro_Clientes[[#This Row],[Entrega]],Preparacion!A:B,2,0)</f>
        <v>Expreso</v>
      </c>
    </row>
    <row r="691" spans="1:17" customFormat="1" x14ac:dyDescent="0.25">
      <c r="A691" s="2" t="s">
        <v>5021</v>
      </c>
      <c r="B691" s="2" t="s">
        <v>5019</v>
      </c>
      <c r="C691" s="2" t="s">
        <v>5020</v>
      </c>
      <c r="D691" s="2" t="s">
        <v>8</v>
      </c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 t="s">
        <v>3125</v>
      </c>
      <c r="P691" s="2" t="str">
        <f>+VLOOKUP(Maestro_Clientes[[#This Row],[Entrega]],Preparacion!A:B,2,0)</f>
        <v>MARTES</v>
      </c>
    </row>
    <row r="692" spans="1:17" x14ac:dyDescent="0.25">
      <c r="A692" s="2" t="s">
        <v>5038</v>
      </c>
      <c r="B692" s="2" t="s">
        <v>5036</v>
      </c>
      <c r="C692" s="2" t="s">
        <v>5037</v>
      </c>
      <c r="D692" s="2" t="s">
        <v>8</v>
      </c>
      <c r="O692" s="2" t="s">
        <v>3023</v>
      </c>
      <c r="P692" s="2" t="str">
        <f>+VLOOKUP(Maestro_Clientes[[#This Row],[Entrega]],Preparacion!A:B,2,0)</f>
        <v>JUEVES</v>
      </c>
    </row>
    <row r="693" spans="1:17" customFormat="1" x14ac:dyDescent="0.25">
      <c r="A693" s="2" t="s">
        <v>5141</v>
      </c>
      <c r="B693" s="2" t="s">
        <v>5036</v>
      </c>
      <c r="C693" s="2" t="s">
        <v>5037</v>
      </c>
      <c r="D693" s="2" t="s">
        <v>8</v>
      </c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 t="s">
        <v>3023</v>
      </c>
      <c r="P693" s="2" t="str">
        <f>+VLOOKUP(Maestro_Clientes[[#This Row],[Entrega]],Preparacion!A:B,2,0)</f>
        <v>JUEVES</v>
      </c>
      <c r="Q693" s="2"/>
    </row>
    <row r="694" spans="1:17" customFormat="1" x14ac:dyDescent="0.25">
      <c r="A694" s="2" t="s">
        <v>3769</v>
      </c>
      <c r="B694" s="2" t="s">
        <v>3770</v>
      </c>
      <c r="C694" s="2" t="s">
        <v>3771</v>
      </c>
      <c r="D694" s="2" t="s">
        <v>8</v>
      </c>
      <c r="E694" s="2" t="s">
        <v>3772</v>
      </c>
      <c r="F694" s="2">
        <v>1025</v>
      </c>
      <c r="G694" s="2" t="s">
        <v>113</v>
      </c>
      <c r="H694" s="2" t="s">
        <v>2279</v>
      </c>
      <c r="I694" s="2" t="s">
        <v>3773</v>
      </c>
      <c r="J694" s="2" t="s">
        <v>2882</v>
      </c>
      <c r="K694" s="2" t="s">
        <v>243</v>
      </c>
      <c r="L694" s="2" t="s">
        <v>3176</v>
      </c>
      <c r="M694" s="2" t="s">
        <v>118</v>
      </c>
      <c r="N694" s="2" t="s">
        <v>119</v>
      </c>
      <c r="O694" s="2" t="str">
        <f>_xlfn.IFNA(+VLOOKUP(Maestro_Clientes[[#This Row],[Zona]],Tabla1[[#All],[Cruce Reportes]:[ENTREGA ]],2,0),Maestro_Clientes[[#This Row],[Zona]])</f>
        <v>Expreso</v>
      </c>
      <c r="P694" s="2" t="str">
        <f>+VLOOKUP(Maestro_Clientes[[#This Row],[Entrega]],Preparacion!A:B,2,0)</f>
        <v>Expreso</v>
      </c>
    </row>
    <row r="695" spans="1:17" customFormat="1" x14ac:dyDescent="0.25">
      <c r="A695" s="2" t="s">
        <v>2000</v>
      </c>
      <c r="B695" s="2" t="s">
        <v>1997</v>
      </c>
      <c r="C695" s="2" t="s">
        <v>1998</v>
      </c>
      <c r="D695" s="2" t="s">
        <v>8</v>
      </c>
      <c r="E695" s="2" t="s">
        <v>1999</v>
      </c>
      <c r="F695" s="2">
        <v>1002</v>
      </c>
      <c r="G695" s="2" t="s">
        <v>34</v>
      </c>
      <c r="H695" s="2" t="s">
        <v>616</v>
      </c>
      <c r="I695" s="2" t="s">
        <v>616</v>
      </c>
      <c r="J695" s="2" t="s">
        <v>2792</v>
      </c>
      <c r="K695" s="2" t="s">
        <v>12</v>
      </c>
      <c r="L695" s="2" t="s">
        <v>618</v>
      </c>
      <c r="M695" s="2" t="s">
        <v>39</v>
      </c>
      <c r="N695" s="2" t="s">
        <v>40</v>
      </c>
      <c r="O695" s="2" t="s">
        <v>3158</v>
      </c>
      <c r="P695" s="2" t="str">
        <f>+VLOOKUP(Maestro_Clientes[[#This Row],[Entrega]],Preparacion!A:B,2,0)</f>
        <v>MIERCOLES</v>
      </c>
    </row>
    <row r="696" spans="1:17" customFormat="1" x14ac:dyDescent="0.25">
      <c r="A696" s="2" t="s">
        <v>1429</v>
      </c>
      <c r="B696" s="2" t="s">
        <v>1426</v>
      </c>
      <c r="C696" s="2" t="s">
        <v>1427</v>
      </c>
      <c r="D696" s="2" t="s">
        <v>8</v>
      </c>
      <c r="E696" s="2" t="s">
        <v>1428</v>
      </c>
      <c r="F696" s="2">
        <v>1034</v>
      </c>
      <c r="G696" s="2" t="s">
        <v>158</v>
      </c>
      <c r="H696" s="2" t="s">
        <v>251</v>
      </c>
      <c r="I696" s="2" t="s">
        <v>251</v>
      </c>
      <c r="J696" s="2" t="s">
        <v>2742</v>
      </c>
      <c r="K696" s="2" t="s">
        <v>12</v>
      </c>
      <c r="L696" s="2" t="s">
        <v>3176</v>
      </c>
      <c r="M696" s="2" t="s">
        <v>2706</v>
      </c>
      <c r="N696" s="2" t="s">
        <v>163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1769</v>
      </c>
      <c r="B697" s="2" t="s">
        <v>1765</v>
      </c>
      <c r="C697" s="2" t="s">
        <v>1766</v>
      </c>
      <c r="D697" s="2" t="s">
        <v>8</v>
      </c>
      <c r="E697" s="2" t="s">
        <v>1768</v>
      </c>
      <c r="F697" s="2">
        <v>1002</v>
      </c>
      <c r="G697" s="2" t="s">
        <v>34</v>
      </c>
      <c r="H697" s="2" t="s">
        <v>1767</v>
      </c>
      <c r="I697" s="2" t="s">
        <v>288</v>
      </c>
      <c r="J697" s="2" t="s">
        <v>2850</v>
      </c>
      <c r="K697" s="2" t="s">
        <v>288</v>
      </c>
      <c r="L697" s="2" t="s">
        <v>3176</v>
      </c>
      <c r="M697" s="2" t="s">
        <v>39</v>
      </c>
      <c r="N697" s="2" t="s">
        <v>40</v>
      </c>
      <c r="O697" s="2" t="str">
        <f>_xlfn.IFNA(+VLOOKUP(Maestro_Clientes[[#This Row],[Zona]],Tabla1[[#All],[Cruce Reportes]:[ENTREGA ]],2,0),Maestro_Clientes[[#This Row],[Zona]])</f>
        <v>Expreso</v>
      </c>
      <c r="P697" s="2" t="str">
        <f>+VLOOKUP(Maestro_Clientes[[#This Row],[Entrega]],Preparacion!A:B,2,0)</f>
        <v>Expreso</v>
      </c>
    </row>
    <row r="698" spans="1:17" customFormat="1" x14ac:dyDescent="0.25">
      <c r="A698" s="2" t="s">
        <v>4653</v>
      </c>
      <c r="B698" s="2" t="s">
        <v>4654</v>
      </c>
      <c r="C698" s="2" t="s">
        <v>4655</v>
      </c>
      <c r="D698" s="2" t="s">
        <v>24</v>
      </c>
      <c r="E698" s="2" t="s">
        <v>2706</v>
      </c>
      <c r="F698" s="2">
        <v>0</v>
      </c>
      <c r="G698" s="2" t="s">
        <v>3176</v>
      </c>
      <c r="H698" s="2" t="s">
        <v>4655</v>
      </c>
      <c r="I698" s="2" t="s">
        <v>2706</v>
      </c>
      <c r="J698" s="2" t="s">
        <v>2815</v>
      </c>
      <c r="K698" s="2" t="s">
        <v>12</v>
      </c>
      <c r="L698" s="2" t="s">
        <v>3011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DIARIA</v>
      </c>
      <c r="P698" s="2" t="str">
        <f>+VLOOKUP(Maestro_Clientes[[#This Row],[Entrega]],Preparacion!A:B,2,0)</f>
        <v>DIARIA</v>
      </c>
    </row>
    <row r="699" spans="1:17" customFormat="1" x14ac:dyDescent="0.25">
      <c r="A699" s="2" t="s">
        <v>3451</v>
      </c>
      <c r="B699" s="2" t="s">
        <v>3452</v>
      </c>
      <c r="C699" s="2" t="s">
        <v>3453</v>
      </c>
      <c r="D699" s="2" t="s">
        <v>8</v>
      </c>
      <c r="E699" s="2" t="s">
        <v>3454</v>
      </c>
      <c r="F699" s="2">
        <v>0</v>
      </c>
      <c r="G699" s="2" t="s">
        <v>3176</v>
      </c>
      <c r="H699" s="2" t="s">
        <v>2662</v>
      </c>
      <c r="I699" s="2" t="s">
        <v>62</v>
      </c>
      <c r="J699" s="2" t="s">
        <v>2861</v>
      </c>
      <c r="K699" s="2" t="s">
        <v>63</v>
      </c>
      <c r="L699" s="2" t="s">
        <v>3023</v>
      </c>
      <c r="M699" s="2" t="s">
        <v>2706</v>
      </c>
      <c r="N699" s="2" t="s">
        <v>2706</v>
      </c>
      <c r="O699" s="2" t="str">
        <f>_xlfn.IFNA(+VLOOKUP(Maestro_Clientes[[#This Row],[Zona]],Tabla1[[#All],[Cruce Reportes]:[ENTREGA ]],2,0),Maestro_Clientes[[#This Row],[Zona]])</f>
        <v>LUNES</v>
      </c>
      <c r="P699" s="2" t="str">
        <f>+VLOOKUP(Maestro_Clientes[[#This Row],[Entrega]],Preparacion!A:B,2,0)</f>
        <v>JUEVES</v>
      </c>
      <c r="Q699" s="2"/>
    </row>
    <row r="700" spans="1:17" customFormat="1" x14ac:dyDescent="0.25">
      <c r="A700" s="2" t="s">
        <v>3800</v>
      </c>
      <c r="B700" s="2" t="s">
        <v>3801</v>
      </c>
      <c r="C700" s="2" t="s">
        <v>3802</v>
      </c>
      <c r="D700" s="2" t="s">
        <v>8</v>
      </c>
      <c r="E700" s="2" t="s">
        <v>3803</v>
      </c>
      <c r="F700" s="2">
        <v>1025</v>
      </c>
      <c r="G700" s="2" t="s">
        <v>113</v>
      </c>
      <c r="H700" s="2" t="s">
        <v>1437</v>
      </c>
      <c r="I700" s="2" t="s">
        <v>1307</v>
      </c>
      <c r="J700" s="2" t="s">
        <v>2868</v>
      </c>
      <c r="K700" s="2" t="s">
        <v>1307</v>
      </c>
      <c r="L700" s="2" t="s">
        <v>3176</v>
      </c>
      <c r="M700" s="2" t="s">
        <v>118</v>
      </c>
      <c r="N700" s="2" t="s">
        <v>119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467</v>
      </c>
      <c r="B701" s="2" t="s">
        <v>464</v>
      </c>
      <c r="C701" s="2" t="s">
        <v>465</v>
      </c>
      <c r="D701" s="2" t="s">
        <v>8</v>
      </c>
      <c r="E701" s="2" t="s">
        <v>466</v>
      </c>
      <c r="F701" s="2">
        <v>1002</v>
      </c>
      <c r="G701" s="2" t="s">
        <v>34</v>
      </c>
      <c r="H701" s="2" t="s">
        <v>195</v>
      </c>
      <c r="I701" s="2" t="s">
        <v>297</v>
      </c>
      <c r="J701" s="2" t="s">
        <v>2736</v>
      </c>
      <c r="K701" s="2" t="s">
        <v>197</v>
      </c>
      <c r="L701" s="2" t="s">
        <v>3176</v>
      </c>
      <c r="M701" s="2" t="s">
        <v>39</v>
      </c>
      <c r="N701" s="2" t="s">
        <v>40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4648</v>
      </c>
      <c r="B702" s="2" t="s">
        <v>4649</v>
      </c>
      <c r="C702" s="2" t="s">
        <v>4650</v>
      </c>
      <c r="D702" s="2" t="s">
        <v>8</v>
      </c>
      <c r="E702" s="2" t="s">
        <v>4651</v>
      </c>
      <c r="F702" s="2">
        <v>1028</v>
      </c>
      <c r="G702" s="2" t="s">
        <v>81</v>
      </c>
      <c r="H702" s="2" t="s">
        <v>229</v>
      </c>
      <c r="I702" s="2" t="s">
        <v>4652</v>
      </c>
      <c r="J702" s="2" t="s">
        <v>2959</v>
      </c>
      <c r="K702" s="2" t="s">
        <v>126</v>
      </c>
      <c r="L702" s="2" t="s">
        <v>3009</v>
      </c>
      <c r="M702" s="2" t="s">
        <v>87</v>
      </c>
      <c r="N702" s="2" t="s">
        <v>88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1350</v>
      </c>
      <c r="B703" s="2" t="s">
        <v>1347</v>
      </c>
      <c r="C703" s="2" t="s">
        <v>1348</v>
      </c>
      <c r="D703" s="2" t="s">
        <v>8</v>
      </c>
      <c r="E703" s="2" t="s">
        <v>1349</v>
      </c>
      <c r="F703" s="2">
        <v>1001</v>
      </c>
      <c r="G703" s="2" t="s">
        <v>9</v>
      </c>
      <c r="H703" s="2" t="s">
        <v>757</v>
      </c>
      <c r="I703" s="2" t="s">
        <v>1295</v>
      </c>
      <c r="J703" s="2" t="s">
        <v>2866</v>
      </c>
      <c r="K703" s="2" t="s">
        <v>243</v>
      </c>
      <c r="L703" s="2" t="s">
        <v>3176</v>
      </c>
      <c r="M703" s="2" t="s">
        <v>14</v>
      </c>
      <c r="N703" s="2" t="s">
        <v>15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4134</v>
      </c>
      <c r="B704" s="2" t="s">
        <v>4135</v>
      </c>
      <c r="C704" s="2" t="s">
        <v>4136</v>
      </c>
      <c r="D704" s="2" t="s">
        <v>8</v>
      </c>
      <c r="E704" s="2" t="s">
        <v>4137</v>
      </c>
      <c r="F704" s="2">
        <v>1034</v>
      </c>
      <c r="G704" s="2" t="s">
        <v>158</v>
      </c>
      <c r="H704" s="2" t="s">
        <v>1681</v>
      </c>
      <c r="I704" s="2" t="s">
        <v>1683</v>
      </c>
      <c r="J704" s="2" t="s">
        <v>2905</v>
      </c>
      <c r="K704" s="2" t="s">
        <v>12</v>
      </c>
      <c r="L704" s="2" t="s">
        <v>3176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4656</v>
      </c>
      <c r="B705" s="2" t="s">
        <v>4657</v>
      </c>
      <c r="C705" s="2" t="s">
        <v>4658</v>
      </c>
      <c r="D705" s="2" t="s">
        <v>8</v>
      </c>
      <c r="E705" s="2" t="s">
        <v>4659</v>
      </c>
      <c r="F705" s="2">
        <v>1034</v>
      </c>
      <c r="G705" s="2" t="s">
        <v>158</v>
      </c>
      <c r="H705" s="2" t="s">
        <v>4660</v>
      </c>
      <c r="I705" s="2" t="s">
        <v>155</v>
      </c>
      <c r="J705" s="2" t="s">
        <v>2725</v>
      </c>
      <c r="K705" s="2" t="s">
        <v>126</v>
      </c>
      <c r="L705" s="2" t="s">
        <v>3009</v>
      </c>
      <c r="M705" s="2" t="s">
        <v>2706</v>
      </c>
      <c r="N705" s="2" t="s">
        <v>163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2081</v>
      </c>
      <c r="B706" s="2" t="s">
        <v>2076</v>
      </c>
      <c r="C706" s="2" t="s">
        <v>2077</v>
      </c>
      <c r="D706" s="2" t="s">
        <v>8</v>
      </c>
      <c r="E706" s="2" t="s">
        <v>2079</v>
      </c>
      <c r="F706" s="2">
        <v>1014</v>
      </c>
      <c r="G706" s="2" t="s">
        <v>59</v>
      </c>
      <c r="H706" s="2" t="s">
        <v>2078</v>
      </c>
      <c r="I706" s="2" t="s">
        <v>2080</v>
      </c>
      <c r="J706" s="2" t="s">
        <v>2944</v>
      </c>
      <c r="K706" s="2" t="s">
        <v>2080</v>
      </c>
      <c r="L706" s="2" t="s">
        <v>3176</v>
      </c>
      <c r="M706" s="2" t="s">
        <v>2706</v>
      </c>
      <c r="N706" s="2" t="s">
        <v>66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2160</v>
      </c>
      <c r="B707" s="2" t="s">
        <v>2156</v>
      </c>
      <c r="C707" s="2" t="s">
        <v>2157</v>
      </c>
      <c r="D707" s="2" t="s">
        <v>8</v>
      </c>
      <c r="E707" s="2" t="s">
        <v>2158</v>
      </c>
      <c r="F707" s="2">
        <v>1028</v>
      </c>
      <c r="G707" s="2" t="s">
        <v>81</v>
      </c>
      <c r="H707" s="2" t="s">
        <v>195</v>
      </c>
      <c r="I707" s="2" t="s">
        <v>2159</v>
      </c>
      <c r="J707" s="2" t="s">
        <v>2950</v>
      </c>
      <c r="K707" s="2" t="s">
        <v>197</v>
      </c>
      <c r="L707" s="2" t="s">
        <v>3176</v>
      </c>
      <c r="M707" s="2" t="s">
        <v>87</v>
      </c>
      <c r="N707" s="2" t="s">
        <v>88</v>
      </c>
      <c r="O707" s="2" t="str">
        <f>_xlfn.IFNA(+VLOOKUP(Maestro_Clientes[[#This Row],[Zona]],Tabla1[[#All],[Cruce Reportes]:[ENTREGA ]],2,0),Maestro_Clientes[[#This Row],[Zona]])</f>
        <v>Expreso</v>
      </c>
      <c r="P707" s="2" t="str">
        <f>+VLOOKUP(Maestro_Clientes[[#This Row],[Entrega]],Preparacion!A:B,2,0)</f>
        <v>Expreso</v>
      </c>
    </row>
    <row r="708" spans="1:17" customFormat="1" x14ac:dyDescent="0.25">
      <c r="A708" s="2" t="s">
        <v>1623</v>
      </c>
      <c r="B708" s="2" t="s">
        <v>1619</v>
      </c>
      <c r="C708" s="2" t="s">
        <v>1620</v>
      </c>
      <c r="D708" s="2" t="s">
        <v>8</v>
      </c>
      <c r="E708" s="2" t="s">
        <v>1622</v>
      </c>
      <c r="F708" s="2">
        <v>1002</v>
      </c>
      <c r="G708" s="2" t="s">
        <v>34</v>
      </c>
      <c r="H708" s="2" t="s">
        <v>1621</v>
      </c>
      <c r="I708" s="2" t="s">
        <v>1621</v>
      </c>
      <c r="J708" s="2" t="s">
        <v>2901</v>
      </c>
      <c r="K708" s="2" t="s">
        <v>12</v>
      </c>
      <c r="L708" s="2" t="s">
        <v>1621</v>
      </c>
      <c r="M708" s="2" t="s">
        <v>39</v>
      </c>
      <c r="N708" s="2" t="s">
        <v>40</v>
      </c>
      <c r="O708" s="2" t="str">
        <f>_xlfn.IFNA(+VLOOKUP(Maestro_Clientes[[#This Row],[Zona]],Tabla1[[#All],[Cruce Reportes]:[ENTREGA ]],2,0),Maestro_Clientes[[#This Row],[Zona]])</f>
        <v>MARTES</v>
      </c>
      <c r="P708" s="2" t="str">
        <f>+VLOOKUP(Maestro_Clientes[[#This Row],[Entrega]],Preparacion!A:B,2,0)</f>
        <v>VIERNES</v>
      </c>
    </row>
    <row r="709" spans="1:17" customFormat="1" x14ac:dyDescent="0.25">
      <c r="A709" s="2" t="s">
        <v>1231</v>
      </c>
      <c r="B709" s="2" t="s">
        <v>1226</v>
      </c>
      <c r="C709" s="2" t="s">
        <v>1227</v>
      </c>
      <c r="D709" s="2" t="s">
        <v>8</v>
      </c>
      <c r="E709" s="2" t="s">
        <v>1229</v>
      </c>
      <c r="F709" s="2">
        <v>1034</v>
      </c>
      <c r="G709" s="2" t="s">
        <v>158</v>
      </c>
      <c r="H709" s="2" t="s">
        <v>1228</v>
      </c>
      <c r="I709" s="2" t="s">
        <v>1230</v>
      </c>
      <c r="J709" s="2" t="s">
        <v>2760</v>
      </c>
      <c r="K709" s="2" t="s">
        <v>126</v>
      </c>
      <c r="L709" s="2" t="s">
        <v>3176</v>
      </c>
      <c r="M709" s="2" t="s">
        <v>2706</v>
      </c>
      <c r="N709" s="2" t="s">
        <v>163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1936</v>
      </c>
      <c r="B710" s="2" t="s">
        <v>1932</v>
      </c>
      <c r="C710" s="2" t="s">
        <v>1933</v>
      </c>
      <c r="D710" s="2" t="s">
        <v>8</v>
      </c>
      <c r="E710" s="2" t="s">
        <v>1935</v>
      </c>
      <c r="F710" s="2">
        <v>1018</v>
      </c>
      <c r="G710" s="2" t="s">
        <v>1886</v>
      </c>
      <c r="H710" s="2" t="s">
        <v>1934</v>
      </c>
      <c r="I710" s="2" t="s">
        <v>243</v>
      </c>
      <c r="J710" s="2" t="s">
        <v>2932</v>
      </c>
      <c r="K710" s="2" t="s">
        <v>243</v>
      </c>
      <c r="L710" s="2" t="s">
        <v>3176</v>
      </c>
      <c r="M710" s="2" t="s">
        <v>1887</v>
      </c>
      <c r="N710" s="2" t="s">
        <v>1888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2678</v>
      </c>
      <c r="B711" s="2" t="s">
        <v>2674</v>
      </c>
      <c r="C711" s="2" t="s">
        <v>2675</v>
      </c>
      <c r="D711" s="2" t="s">
        <v>8</v>
      </c>
      <c r="E711" s="2" t="s">
        <v>2676</v>
      </c>
      <c r="F711" s="2">
        <v>0</v>
      </c>
      <c r="G711" s="2" t="s">
        <v>3176</v>
      </c>
      <c r="H711" s="2" t="s">
        <v>2706</v>
      </c>
      <c r="I711" s="2" t="s">
        <v>2677</v>
      </c>
      <c r="J711" s="2" t="s">
        <v>3003</v>
      </c>
      <c r="K711" s="2" t="s">
        <v>126</v>
      </c>
      <c r="L711" s="2" t="s">
        <v>3176</v>
      </c>
      <c r="M711" s="2" t="s">
        <v>2706</v>
      </c>
      <c r="N711" s="2" t="s">
        <v>2706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4637</v>
      </c>
      <c r="B712" s="2" t="s">
        <v>4638</v>
      </c>
      <c r="C712" s="2" t="s">
        <v>4639</v>
      </c>
      <c r="D712" s="2" t="s">
        <v>8</v>
      </c>
      <c r="E712" s="2" t="s">
        <v>4640</v>
      </c>
      <c r="F712" s="2">
        <v>1034</v>
      </c>
      <c r="G712" s="2" t="s">
        <v>158</v>
      </c>
      <c r="H712" s="2" t="s">
        <v>4641</v>
      </c>
      <c r="I712" s="2" t="s">
        <v>4641</v>
      </c>
      <c r="J712" s="2" t="s">
        <v>4642</v>
      </c>
      <c r="K712" s="2" t="s">
        <v>12</v>
      </c>
      <c r="L712" s="2" t="s">
        <v>3009</v>
      </c>
      <c r="M712" s="2" t="s">
        <v>2706</v>
      </c>
      <c r="N712" s="2" t="s">
        <v>163</v>
      </c>
      <c r="O712" s="2" t="str">
        <f>_xlfn.IFNA(+VLOOKUP(Maestro_Clientes[[#This Row],[Zona]],Tabla1[[#All],[Cruce Reportes]:[ENTREGA ]],2,0),Maestro_Clientes[[#This Row],[Zona]])</f>
        <v>EXPRESO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5070</v>
      </c>
      <c r="B713" s="2" t="s">
        <v>5068</v>
      </c>
      <c r="C713" s="2" t="s">
        <v>5069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customFormat="1" x14ac:dyDescent="0.25">
      <c r="A714" s="2" t="s">
        <v>5003</v>
      </c>
      <c r="B714" s="2" t="s">
        <v>5002</v>
      </c>
      <c r="C714" s="2" t="s">
        <v>5004</v>
      </c>
      <c r="D714" s="2" t="s">
        <v>8</v>
      </c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 t="s">
        <v>3176</v>
      </c>
      <c r="P714" s="2" t="str">
        <f>+VLOOKUP(Maestro_Clientes[[#This Row],[Entrega]],Preparacion!A:B,2,0)</f>
        <v>Expreso</v>
      </c>
    </row>
    <row r="715" spans="1:17" x14ac:dyDescent="0.25">
      <c r="A715" s="2" t="s">
        <v>4666</v>
      </c>
      <c r="B715" s="2" t="s">
        <v>4667</v>
      </c>
      <c r="C715" s="2" t="s">
        <v>4668</v>
      </c>
      <c r="D715" s="2" t="s">
        <v>8</v>
      </c>
      <c r="E715" s="2" t="s">
        <v>4669</v>
      </c>
      <c r="F715" s="2">
        <v>1025</v>
      </c>
      <c r="G715" s="2" t="s">
        <v>113</v>
      </c>
      <c r="H715" s="2" t="s">
        <v>4670</v>
      </c>
      <c r="I715" s="2" t="s">
        <v>4671</v>
      </c>
      <c r="J715" s="2" t="s">
        <v>4672</v>
      </c>
      <c r="K715" s="2" t="s">
        <v>12</v>
      </c>
      <c r="L715" s="2" t="s">
        <v>3009</v>
      </c>
      <c r="M715" s="2" t="s">
        <v>118</v>
      </c>
      <c r="N715" s="2" t="s">
        <v>119</v>
      </c>
      <c r="O715" s="2" t="str">
        <f>_xlfn.IFNA(+VLOOKUP(Maestro_Clientes[[#This Row],[Zona]],Tabla1[[#All],[Cruce Reportes]:[ENTREGA ]],2,0),Maestro_Clientes[[#This Row],[Zona]])</f>
        <v>EXPRESO</v>
      </c>
      <c r="P715" s="2" t="str">
        <f>+VLOOKUP(Maestro_Clientes[[#This Row],[Entrega]],Preparacion!A:B,2,0)</f>
        <v>Expreso</v>
      </c>
      <c r="Q715"/>
    </row>
    <row r="716" spans="1:17" customFormat="1" x14ac:dyDescent="0.25">
      <c r="A716" s="2" t="s">
        <v>4949</v>
      </c>
      <c r="B716" s="2" t="s">
        <v>4931</v>
      </c>
      <c r="C716" s="2" t="s">
        <v>4966</v>
      </c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 t="s">
        <v>3158</v>
      </c>
      <c r="P716" s="2" t="str">
        <f>+VLOOKUP(Maestro_Clientes[[#This Row],[Entrega]],Preparacion!A:B,2,0)</f>
        <v>MIERCOLES</v>
      </c>
    </row>
    <row r="717" spans="1:17" customFormat="1" x14ac:dyDescent="0.25">
      <c r="A717" s="2" t="s">
        <v>2196</v>
      </c>
      <c r="B717" s="2" t="s">
        <v>2192</v>
      </c>
      <c r="C717" s="2" t="s">
        <v>2193</v>
      </c>
      <c r="D717" s="2" t="s">
        <v>8</v>
      </c>
      <c r="E717" s="2" t="s">
        <v>2194</v>
      </c>
      <c r="F717" s="2">
        <v>1028</v>
      </c>
      <c r="G717" s="2" t="s">
        <v>81</v>
      </c>
      <c r="H717" s="2" t="s">
        <v>195</v>
      </c>
      <c r="I717" s="2" t="s">
        <v>2195</v>
      </c>
      <c r="J717" s="2" t="s">
        <v>2956</v>
      </c>
      <c r="K717" s="2" t="s">
        <v>197</v>
      </c>
      <c r="L717" s="2" t="s">
        <v>3176</v>
      </c>
      <c r="M717" s="2" t="s">
        <v>87</v>
      </c>
      <c r="N717" s="2" t="s">
        <v>88</v>
      </c>
      <c r="O717" s="2" t="str">
        <f>_xlfn.IFNA(+VLOOKUP(Maestro_Clientes[[#This Row],[Zona]],Tabla1[[#All],[Cruce Reportes]:[ENTREGA ]],2,0),Maestro_Clientes[[#This Row],[Zona]])</f>
        <v>Expreso</v>
      </c>
      <c r="P717" s="2" t="str">
        <f>+VLOOKUP(Maestro_Clientes[[#This Row],[Entrega]],Preparacion!A:B,2,0)</f>
        <v>Expreso</v>
      </c>
    </row>
    <row r="718" spans="1:17" customFormat="1" x14ac:dyDescent="0.25">
      <c r="A718" s="2" t="s">
        <v>3450</v>
      </c>
      <c r="B718" s="2" t="s">
        <v>2424</v>
      </c>
      <c r="C718" s="2" t="s">
        <v>2425</v>
      </c>
      <c r="D718" s="2" t="s">
        <v>8</v>
      </c>
      <c r="E718" s="2" t="s">
        <v>2427</v>
      </c>
      <c r="F718" s="2">
        <v>1034</v>
      </c>
      <c r="G718" s="2" t="s">
        <v>158</v>
      </c>
      <c r="H718" s="2" t="s">
        <v>2662</v>
      </c>
      <c r="I718" s="2" t="s">
        <v>62</v>
      </c>
      <c r="J718" s="2" t="s">
        <v>2831</v>
      </c>
      <c r="K718" s="2" t="s">
        <v>63</v>
      </c>
      <c r="L718" s="2" t="s">
        <v>3023</v>
      </c>
      <c r="M718" s="2" t="s">
        <v>2706</v>
      </c>
      <c r="N718" s="2" t="s">
        <v>163</v>
      </c>
      <c r="O718" s="2" t="str">
        <f>_xlfn.IFNA(+VLOOKUP(Maestro_Clientes[[#This Row],[Zona]],Tabla1[[#All],[Cruce Reportes]:[ENTREGA ]],2,0),Maestro_Clientes[[#This Row],[Zona]])</f>
        <v>LUNES</v>
      </c>
      <c r="P718" s="2" t="str">
        <f>+VLOOKUP(Maestro_Clientes[[#This Row],[Entrega]],Preparacion!A:B,2,0)</f>
        <v>JUEVES</v>
      </c>
      <c r="Q718" s="2"/>
    </row>
    <row r="719" spans="1:17" customFormat="1" x14ac:dyDescent="0.25">
      <c r="A719" s="2" t="s">
        <v>3783</v>
      </c>
      <c r="B719" s="2" t="s">
        <v>3784</v>
      </c>
      <c r="C719" s="2" t="s">
        <v>3785</v>
      </c>
      <c r="D719" s="2" t="s">
        <v>8</v>
      </c>
      <c r="E719" s="2" t="s">
        <v>3786</v>
      </c>
      <c r="F719" s="2">
        <v>1025</v>
      </c>
      <c r="G719" s="2" t="s">
        <v>113</v>
      </c>
      <c r="H719" s="2" t="s">
        <v>757</v>
      </c>
      <c r="I719" s="2" t="s">
        <v>3787</v>
      </c>
      <c r="J719" s="2" t="s">
        <v>3788</v>
      </c>
      <c r="K719" s="2" t="s">
        <v>243</v>
      </c>
      <c r="L719" s="2" t="s">
        <v>3176</v>
      </c>
      <c r="M719" s="2" t="s">
        <v>118</v>
      </c>
      <c r="N719" s="2" t="s">
        <v>119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2541</v>
      </c>
      <c r="B720" s="2" t="s">
        <v>2537</v>
      </c>
      <c r="C720" s="2" t="s">
        <v>2538</v>
      </c>
      <c r="D720" s="2" t="s">
        <v>8</v>
      </c>
      <c r="E720" s="2" t="s">
        <v>2539</v>
      </c>
      <c r="F720" s="2">
        <v>1028</v>
      </c>
      <c r="G720" s="2" t="s">
        <v>81</v>
      </c>
      <c r="H720" s="2" t="s">
        <v>301</v>
      </c>
      <c r="I720" s="2" t="s">
        <v>2540</v>
      </c>
      <c r="J720" s="2" t="s">
        <v>2991</v>
      </c>
      <c r="K720" s="2" t="s">
        <v>281</v>
      </c>
      <c r="L720" s="2" t="s">
        <v>3176</v>
      </c>
      <c r="M720" s="2" t="s">
        <v>87</v>
      </c>
      <c r="N720" s="2" t="s">
        <v>88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1560</v>
      </c>
      <c r="B721" s="2" t="s">
        <v>1556</v>
      </c>
      <c r="C721" s="2" t="s">
        <v>1557</v>
      </c>
      <c r="D721" s="2" t="s">
        <v>8</v>
      </c>
      <c r="E721" s="2" t="s">
        <v>1559</v>
      </c>
      <c r="F721" s="2">
        <v>1002</v>
      </c>
      <c r="G721" s="2" t="s">
        <v>34</v>
      </c>
      <c r="H721" s="2" t="s">
        <v>1558</v>
      </c>
      <c r="I721" s="2" t="s">
        <v>517</v>
      </c>
      <c r="J721" s="2" t="s">
        <v>2777</v>
      </c>
      <c r="K721" s="2" t="s">
        <v>518</v>
      </c>
      <c r="L721" s="2" t="s">
        <v>3176</v>
      </c>
      <c r="M721" s="2" t="s">
        <v>39</v>
      </c>
      <c r="N721" s="2" t="s">
        <v>40</v>
      </c>
      <c r="O721" s="2" t="str">
        <f>_xlfn.IFNA(+VLOOKUP(Maestro_Clientes[[#This Row],[Zona]],Tabla1[[#All],[Cruce Reportes]:[ENTREGA ]],2,0),Maestro_Clientes[[#This Row],[Zona]])</f>
        <v>Expreso</v>
      </c>
      <c r="P721" s="2" t="str">
        <f>+VLOOKUP(Maestro_Clientes[[#This Row],[Entrega]],Preparacion!A:B,2,0)</f>
        <v>Expreso</v>
      </c>
    </row>
    <row r="722" spans="1:17" customFormat="1" x14ac:dyDescent="0.25">
      <c r="A722" s="2" t="s">
        <v>947</v>
      </c>
      <c r="B722" s="2" t="s">
        <v>942</v>
      </c>
      <c r="C722" s="2" t="s">
        <v>943</v>
      </c>
      <c r="D722" s="2" t="s">
        <v>8</v>
      </c>
      <c r="E722" s="2" t="s">
        <v>945</v>
      </c>
      <c r="F722" s="2">
        <v>1001</v>
      </c>
      <c r="G722" s="2" t="s">
        <v>9</v>
      </c>
      <c r="H722" s="2" t="s">
        <v>944</v>
      </c>
      <c r="I722" s="2" t="s">
        <v>62</v>
      </c>
      <c r="J722" s="2" t="s">
        <v>2830</v>
      </c>
      <c r="K722" s="2" t="s">
        <v>63</v>
      </c>
      <c r="L722" s="2" t="s">
        <v>3023</v>
      </c>
      <c r="M722" s="2" t="s">
        <v>14</v>
      </c>
      <c r="N722" s="2" t="s">
        <v>15</v>
      </c>
      <c r="O722" s="2" t="str">
        <f>_xlfn.IFNA(+VLOOKUP(Maestro_Clientes[[#This Row],[Zona]],Tabla1[[#All],[Cruce Reportes]:[ENTREGA ]],2,0),Maestro_Clientes[[#This Row],[Zona]])</f>
        <v>LUNES</v>
      </c>
      <c r="P722" s="2" t="str">
        <f>+VLOOKUP(Maestro_Clientes[[#This Row],[Entrega]],Preparacion!A:B,2,0)</f>
        <v>JUEVES</v>
      </c>
      <c r="Q722" s="2"/>
    </row>
    <row r="723" spans="1:17" customFormat="1" x14ac:dyDescent="0.25">
      <c r="A723" s="2" t="s">
        <v>1318</v>
      </c>
      <c r="B723" s="2" t="s">
        <v>1314</v>
      </c>
      <c r="C723" s="2" t="s">
        <v>1315</v>
      </c>
      <c r="D723" s="2" t="s">
        <v>8</v>
      </c>
      <c r="E723" s="2" t="s">
        <v>1316</v>
      </c>
      <c r="F723" s="2">
        <v>1014</v>
      </c>
      <c r="G723" s="2" t="s">
        <v>59</v>
      </c>
      <c r="H723" s="2" t="s">
        <v>126</v>
      </c>
      <c r="I723" s="2" t="s">
        <v>1317</v>
      </c>
      <c r="J723" s="2" t="s">
        <v>2869</v>
      </c>
      <c r="K723" s="2" t="s">
        <v>126</v>
      </c>
      <c r="L723" s="2" t="s">
        <v>3176</v>
      </c>
      <c r="M723" s="2" t="s">
        <v>2706</v>
      </c>
      <c r="N723" s="2" t="s">
        <v>66</v>
      </c>
      <c r="O723" s="2" t="str">
        <f>_xlfn.IFNA(+VLOOKUP(Maestro_Clientes[[#This Row],[Zona]],Tabla1[[#All],[Cruce Reportes]:[ENTREGA ]],2,0),Maestro_Clientes[[#This Row],[Zona]])</f>
        <v>Expreso</v>
      </c>
      <c r="P723" s="2" t="str">
        <f>+VLOOKUP(Maestro_Clientes[[#This Row],[Entrega]],Preparacion!A:B,2,0)</f>
        <v>Expreso</v>
      </c>
    </row>
    <row r="724" spans="1:17" customFormat="1" x14ac:dyDescent="0.25">
      <c r="A724" s="2" t="s">
        <v>4633</v>
      </c>
      <c r="B724" s="2" t="s">
        <v>4634</v>
      </c>
      <c r="C724" s="2" t="s">
        <v>4635</v>
      </c>
      <c r="D724" s="2" t="s">
        <v>8</v>
      </c>
      <c r="E724" s="2" t="s">
        <v>4636</v>
      </c>
      <c r="F724" s="2">
        <v>1034</v>
      </c>
      <c r="G724" s="2" t="s">
        <v>158</v>
      </c>
      <c r="H724" s="2" t="s">
        <v>855</v>
      </c>
      <c r="I724" s="2" t="s">
        <v>855</v>
      </c>
      <c r="J724" s="2" t="s">
        <v>2820</v>
      </c>
      <c r="K724" s="2" t="s">
        <v>12</v>
      </c>
      <c r="L724" s="2" t="s">
        <v>3023</v>
      </c>
      <c r="M724" s="2" t="s">
        <v>2706</v>
      </c>
      <c r="N724" s="2" t="s">
        <v>163</v>
      </c>
      <c r="O724" s="2" t="str">
        <f>_xlfn.IFNA(+VLOOKUP(Maestro_Clientes[[#This Row],[Zona]],Tabla1[[#All],[Cruce Reportes]:[ENTREGA ]],2,0),Maestro_Clientes[[#This Row],[Zona]])</f>
        <v>LUNES</v>
      </c>
      <c r="P724" s="2" t="str">
        <f>+VLOOKUP(Maestro_Clientes[[#This Row],[Entrega]],Preparacion!A:B,2,0)</f>
        <v>JUEVES</v>
      </c>
      <c r="Q724" s="2"/>
    </row>
    <row r="725" spans="1:17" customFormat="1" x14ac:dyDescent="0.25">
      <c r="A725" s="2" t="s">
        <v>425</v>
      </c>
      <c r="B725" s="2" t="s">
        <v>421</v>
      </c>
      <c r="C725" s="2" t="s">
        <v>422</v>
      </c>
      <c r="D725" s="2" t="s">
        <v>8</v>
      </c>
      <c r="E725" s="2" t="s">
        <v>424</v>
      </c>
      <c r="F725" s="2">
        <v>1001</v>
      </c>
      <c r="G725" s="2" t="s">
        <v>9</v>
      </c>
      <c r="H725" s="2" t="s">
        <v>423</v>
      </c>
      <c r="I725" s="2" t="s">
        <v>10</v>
      </c>
      <c r="J725" s="2" t="s">
        <v>2701</v>
      </c>
      <c r="K725" s="2" t="s">
        <v>12</v>
      </c>
      <c r="L725" s="2" t="s">
        <v>10</v>
      </c>
      <c r="M725" s="2" t="s">
        <v>14</v>
      </c>
      <c r="N725" s="2" t="s">
        <v>15</v>
      </c>
      <c r="O725" s="2" t="str">
        <f>_xlfn.IFNA(+VLOOKUP(Maestro_Clientes[[#This Row],[Zona]],Tabla1[[#All],[Cruce Reportes]:[ENTREGA ]],2,0),Maestro_Clientes[[#This Row],[Zona]])</f>
        <v>MARTES</v>
      </c>
      <c r="P725" s="2" t="str">
        <f>+VLOOKUP(Maestro_Clientes[[#This Row],[Entrega]],Preparacion!A:B,2,0)</f>
        <v>VIERNES</v>
      </c>
    </row>
    <row r="726" spans="1:17" x14ac:dyDescent="0.25">
      <c r="A726" s="2" t="s">
        <v>4677</v>
      </c>
      <c r="B726" s="2" t="s">
        <v>4678</v>
      </c>
      <c r="C726" s="2" t="s">
        <v>4679</v>
      </c>
      <c r="D726" s="2" t="s">
        <v>8</v>
      </c>
      <c r="E726" s="2" t="s">
        <v>4680</v>
      </c>
      <c r="F726" s="2">
        <v>1034</v>
      </c>
      <c r="G726" s="2" t="s">
        <v>158</v>
      </c>
      <c r="H726" s="2" t="s">
        <v>649</v>
      </c>
      <c r="I726" s="2" t="s">
        <v>649</v>
      </c>
      <c r="J726" s="2" t="s">
        <v>2796</v>
      </c>
      <c r="K726" s="2" t="s">
        <v>12</v>
      </c>
      <c r="L726" s="2" t="s">
        <v>3009</v>
      </c>
      <c r="M726" s="2" t="s">
        <v>2706</v>
      </c>
      <c r="N726" s="2" t="s">
        <v>163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  <c r="Q726"/>
    </row>
    <row r="727" spans="1:17" customFormat="1" x14ac:dyDescent="0.25">
      <c r="A727" s="2" t="s">
        <v>1490</v>
      </c>
      <c r="B727" s="2" t="s">
        <v>1486</v>
      </c>
      <c r="C727" s="2" t="s">
        <v>1487</v>
      </c>
      <c r="D727" s="2" t="s">
        <v>8</v>
      </c>
      <c r="E727" s="2" t="s">
        <v>1489</v>
      </c>
      <c r="F727" s="2">
        <v>0</v>
      </c>
      <c r="G727" s="2" t="s">
        <v>3176</v>
      </c>
      <c r="H727" s="2" t="s">
        <v>1488</v>
      </c>
      <c r="I727" s="2" t="s">
        <v>62</v>
      </c>
      <c r="J727" s="2" t="s">
        <v>2766</v>
      </c>
      <c r="K727" s="2" t="s">
        <v>63</v>
      </c>
      <c r="L727" s="2" t="s">
        <v>3176</v>
      </c>
      <c r="M727" s="2" t="s">
        <v>2706</v>
      </c>
      <c r="N727" s="2" t="s">
        <v>2706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1775</v>
      </c>
      <c r="B728" s="2" t="s">
        <v>1770</v>
      </c>
      <c r="C728" s="2" t="s">
        <v>1771</v>
      </c>
      <c r="D728" s="2" t="s">
        <v>8</v>
      </c>
      <c r="E728" s="2" t="s">
        <v>1773</v>
      </c>
      <c r="F728" s="2">
        <v>1002</v>
      </c>
      <c r="G728" s="2" t="s">
        <v>34</v>
      </c>
      <c r="H728" s="2" t="s">
        <v>1772</v>
      </c>
      <c r="I728" s="2" t="s">
        <v>1774</v>
      </c>
      <c r="J728" s="2" t="s">
        <v>2917</v>
      </c>
      <c r="K728" s="2" t="s">
        <v>12</v>
      </c>
      <c r="L728" s="2" t="s">
        <v>3176</v>
      </c>
      <c r="M728" s="2" t="s">
        <v>39</v>
      </c>
      <c r="N728" s="2" t="s">
        <v>40</v>
      </c>
      <c r="O728" s="2" t="str">
        <f>_xlfn.IFNA(+VLOOKUP(Maestro_Clientes[[#This Row],[Zona]],Tabla1[[#All],[Cruce Reportes]:[ENTREGA ]],2,0),Maestro_Clientes[[#This Row],[Zona]])</f>
        <v>Expreso</v>
      </c>
      <c r="P728" s="2" t="str">
        <f>+VLOOKUP(Maestro_Clientes[[#This Row],[Entrega]],Preparacion!A:B,2,0)</f>
        <v>Expreso</v>
      </c>
    </row>
    <row r="729" spans="1:17" customFormat="1" x14ac:dyDescent="0.25">
      <c r="A729" s="2" t="s">
        <v>326</v>
      </c>
      <c r="B729" s="2" t="s">
        <v>322</v>
      </c>
      <c r="C729" s="2" t="s">
        <v>323</v>
      </c>
      <c r="D729" s="2" t="s">
        <v>8</v>
      </c>
      <c r="E729" s="2" t="s">
        <v>325</v>
      </c>
      <c r="F729" s="2">
        <v>1001</v>
      </c>
      <c r="G729" s="2" t="s">
        <v>9</v>
      </c>
      <c r="H729" s="2" t="s">
        <v>324</v>
      </c>
      <c r="I729" s="2" t="s">
        <v>324</v>
      </c>
      <c r="J729" s="2" t="s">
        <v>2753</v>
      </c>
      <c r="K729" s="2" t="s">
        <v>12</v>
      </c>
      <c r="L729" s="2" t="s">
        <v>324</v>
      </c>
      <c r="M729" s="2" t="s">
        <v>14</v>
      </c>
      <c r="N729" s="2" t="s">
        <v>15</v>
      </c>
      <c r="O729" s="2" t="str">
        <f>_xlfn.IFNA(+VLOOKUP(Maestro_Clientes[[#This Row],[Zona]],Tabla1[[#All],[Cruce Reportes]:[ENTREGA ]],2,0),Maestro_Clientes[[#This Row],[Zona]])</f>
        <v>MIERCOLES</v>
      </c>
      <c r="P729" s="2" t="str">
        <f>+VLOOKUP(Maestro_Clientes[[#This Row],[Entrega]],Preparacion!A:B,2,0)</f>
        <v>LUNES</v>
      </c>
    </row>
    <row r="730" spans="1:17" x14ac:dyDescent="0.25">
      <c r="A730" s="2" t="s">
        <v>2301</v>
      </c>
      <c r="B730" s="2" t="s">
        <v>2296</v>
      </c>
      <c r="C730" s="2" t="s">
        <v>2297</v>
      </c>
      <c r="D730" s="2" t="s">
        <v>8</v>
      </c>
      <c r="E730" s="2" t="s">
        <v>2299</v>
      </c>
      <c r="F730" s="2">
        <v>1014</v>
      </c>
      <c r="G730" s="2" t="s">
        <v>59</v>
      </c>
      <c r="H730" s="2" t="s">
        <v>2298</v>
      </c>
      <c r="I730" s="2" t="s">
        <v>2300</v>
      </c>
      <c r="J730" s="2" t="s">
        <v>2963</v>
      </c>
      <c r="K730" s="2" t="s">
        <v>12</v>
      </c>
      <c r="L730" s="2" t="s">
        <v>3176</v>
      </c>
      <c r="M730" s="2" t="s">
        <v>2706</v>
      </c>
      <c r="N730" s="2" t="s">
        <v>66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x14ac:dyDescent="0.25">
      <c r="A731" s="2" t="s">
        <v>2528</v>
      </c>
      <c r="B731" s="2" t="s">
        <v>2523</v>
      </c>
      <c r="C731" s="2" t="s">
        <v>2524</v>
      </c>
      <c r="D731" s="2" t="s">
        <v>8</v>
      </c>
      <c r="E731" s="2" t="s">
        <v>2526</v>
      </c>
      <c r="F731" s="2">
        <v>1025</v>
      </c>
      <c r="G731" s="2" t="s">
        <v>113</v>
      </c>
      <c r="H731" s="2" t="s">
        <v>2525</v>
      </c>
      <c r="I731" s="2" t="s">
        <v>2527</v>
      </c>
      <c r="J731" s="2" t="s">
        <v>2989</v>
      </c>
      <c r="K731" s="2" t="s">
        <v>12</v>
      </c>
      <c r="L731" s="2" t="s">
        <v>3176</v>
      </c>
      <c r="M731" s="2" t="s">
        <v>118</v>
      </c>
      <c r="N731" s="2" t="s">
        <v>119</v>
      </c>
      <c r="O731" s="2" t="str">
        <f>_xlfn.IFNA(+VLOOKUP(Maestro_Clientes[[#This Row],[Zona]],Tabla1[[#All],[Cruce Reportes]:[ENTREGA ]],2,0),Maestro_Clientes[[#This Row],[Zona]])</f>
        <v>Expreso</v>
      </c>
      <c r="P731" s="2" t="str">
        <f>+VLOOKUP(Maestro_Clientes[[#This Row],[Entrega]],Preparacion!A:B,2,0)</f>
        <v>Expreso</v>
      </c>
      <c r="Q731"/>
    </row>
    <row r="732" spans="1:17" customFormat="1" x14ac:dyDescent="0.25">
      <c r="A732" s="2" t="s">
        <v>1466</v>
      </c>
      <c r="B732" s="2" t="s">
        <v>1461</v>
      </c>
      <c r="C732" s="2" t="s">
        <v>1462</v>
      </c>
      <c r="D732" s="2" t="s">
        <v>8</v>
      </c>
      <c r="E732" s="2" t="s">
        <v>1464</v>
      </c>
      <c r="F732" s="2">
        <v>1014</v>
      </c>
      <c r="G732" s="2" t="s">
        <v>59</v>
      </c>
      <c r="H732" s="2" t="s">
        <v>1463</v>
      </c>
      <c r="I732" s="2" t="s">
        <v>1465</v>
      </c>
      <c r="J732" s="2" t="s">
        <v>2886</v>
      </c>
      <c r="K732" s="2" t="s">
        <v>12</v>
      </c>
      <c r="L732" s="2" t="s">
        <v>1028</v>
      </c>
      <c r="M732" s="2" t="s">
        <v>2706</v>
      </c>
      <c r="N732" s="2" t="s">
        <v>66</v>
      </c>
      <c r="O732" s="2" t="s">
        <v>3158</v>
      </c>
      <c r="P732" s="2" t="str">
        <f>+VLOOKUP(Maestro_Clientes[[#This Row],[Entrega]],Preparacion!A:B,2,0)</f>
        <v>MIERCOLES</v>
      </c>
    </row>
    <row r="733" spans="1:17" customFormat="1" x14ac:dyDescent="0.25">
      <c r="A733" s="2" t="s">
        <v>2555</v>
      </c>
      <c r="B733" s="2" t="s">
        <v>2551</v>
      </c>
      <c r="C733" s="2" t="s">
        <v>2552</v>
      </c>
      <c r="D733" s="2" t="s">
        <v>8</v>
      </c>
      <c r="E733" s="2" t="s">
        <v>2554</v>
      </c>
      <c r="F733" s="2">
        <v>1028</v>
      </c>
      <c r="G733" s="2" t="s">
        <v>81</v>
      </c>
      <c r="H733" s="2" t="s">
        <v>2553</v>
      </c>
      <c r="I733" s="2" t="s">
        <v>1954</v>
      </c>
      <c r="J733" s="2" t="s">
        <v>2934</v>
      </c>
      <c r="K733" s="2" t="s">
        <v>12</v>
      </c>
      <c r="L733" s="2" t="s">
        <v>3176</v>
      </c>
      <c r="M733" s="2" t="s">
        <v>87</v>
      </c>
      <c r="N733" s="2" t="s">
        <v>88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1779</v>
      </c>
      <c r="B734" s="2" t="s">
        <v>1776</v>
      </c>
      <c r="C734" s="2" t="s">
        <v>1777</v>
      </c>
      <c r="D734" s="2" t="s">
        <v>8</v>
      </c>
      <c r="E734" s="2" t="s">
        <v>1778</v>
      </c>
      <c r="F734" s="2">
        <v>1002</v>
      </c>
      <c r="G734" s="2" t="s">
        <v>34</v>
      </c>
      <c r="H734" s="2" t="s">
        <v>723</v>
      </c>
      <c r="I734" s="2" t="s">
        <v>517</v>
      </c>
      <c r="J734" s="2" t="s">
        <v>2777</v>
      </c>
      <c r="K734" s="2" t="s">
        <v>518</v>
      </c>
      <c r="L734" s="2" t="s">
        <v>3176</v>
      </c>
      <c r="M734" s="2" t="s">
        <v>39</v>
      </c>
      <c r="N734" s="2" t="s">
        <v>40</v>
      </c>
      <c r="O734" s="2" t="str">
        <f>_xlfn.IFNA(+VLOOKUP(Maestro_Clientes[[#This Row],[Zona]],Tabla1[[#All],[Cruce Reportes]:[ENTREGA ]],2,0),Maestro_Clientes[[#This Row],[Zona]])</f>
        <v>Expreso</v>
      </c>
      <c r="P734" s="2" t="str">
        <f>+VLOOKUP(Maestro_Clientes[[#This Row],[Entrega]],Preparacion!A:B,2,0)</f>
        <v>Expreso</v>
      </c>
    </row>
    <row r="735" spans="1:17" customFormat="1" x14ac:dyDescent="0.25">
      <c r="A735" s="2" t="s">
        <v>4681</v>
      </c>
      <c r="B735" s="2" t="s">
        <v>4682</v>
      </c>
      <c r="C735" s="2" t="s">
        <v>4683</v>
      </c>
      <c r="D735" s="2" t="s">
        <v>8</v>
      </c>
      <c r="E735" s="2" t="s">
        <v>4684</v>
      </c>
      <c r="F735" s="2">
        <v>1028</v>
      </c>
      <c r="G735" s="2" t="s">
        <v>81</v>
      </c>
      <c r="H735" s="2" t="s">
        <v>855</v>
      </c>
      <c r="I735" s="2" t="s">
        <v>855</v>
      </c>
      <c r="J735" s="2" t="s">
        <v>2820</v>
      </c>
      <c r="K735" s="2" t="s">
        <v>12</v>
      </c>
      <c r="L735" s="2" t="s">
        <v>3023</v>
      </c>
      <c r="M735" s="2" t="s">
        <v>87</v>
      </c>
      <c r="N735" s="2" t="s">
        <v>88</v>
      </c>
      <c r="O735" s="2" t="str">
        <f>_xlfn.IFNA(+VLOOKUP(Maestro_Clientes[[#This Row],[Zona]],Tabla1[[#All],[Cruce Reportes]:[ENTREGA ]],2,0),Maestro_Clientes[[#This Row],[Zona]])</f>
        <v>LUNES</v>
      </c>
      <c r="P735" s="2" t="str">
        <f>+VLOOKUP(Maestro_Clientes[[#This Row],[Entrega]],Preparacion!A:B,2,0)</f>
        <v>JUEVES</v>
      </c>
      <c r="Q735" s="2"/>
    </row>
    <row r="736" spans="1:17" customFormat="1" x14ac:dyDescent="0.25">
      <c r="A736" s="2" t="s">
        <v>1030</v>
      </c>
      <c r="B736" s="2" t="s">
        <v>1026</v>
      </c>
      <c r="C736" s="2" t="s">
        <v>1027</v>
      </c>
      <c r="D736" s="2" t="s">
        <v>8</v>
      </c>
      <c r="E736" s="2" t="s">
        <v>1029</v>
      </c>
      <c r="F736" s="2">
        <v>1001</v>
      </c>
      <c r="G736" s="2" t="s">
        <v>9</v>
      </c>
      <c r="H736" s="2" t="s">
        <v>1028</v>
      </c>
      <c r="I736" s="2" t="s">
        <v>1028</v>
      </c>
      <c r="J736" s="2" t="s">
        <v>2840</v>
      </c>
      <c r="K736" s="2" t="s">
        <v>12</v>
      </c>
      <c r="L736" s="2" t="s">
        <v>1028</v>
      </c>
      <c r="M736" s="2" t="s">
        <v>14</v>
      </c>
      <c r="N736" s="2" t="s">
        <v>15</v>
      </c>
      <c r="O736" s="2" t="s">
        <v>3158</v>
      </c>
      <c r="P736" s="2" t="str">
        <f>+VLOOKUP(Maestro_Clientes[[#This Row],[Entrega]],Preparacion!A:B,2,0)</f>
        <v>MIERCOLES</v>
      </c>
    </row>
    <row r="737" spans="1:17" customFormat="1" x14ac:dyDescent="0.25">
      <c r="A737" s="2" t="s">
        <v>5053</v>
      </c>
      <c r="B737" s="2" t="s">
        <v>5054</v>
      </c>
      <c r="C737" s="2" t="s">
        <v>5052</v>
      </c>
      <c r="D737" s="2" t="s">
        <v>8</v>
      </c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 t="s">
        <v>3009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4673</v>
      </c>
      <c r="B738" s="2" t="s">
        <v>4674</v>
      </c>
      <c r="C738" s="2" t="s">
        <v>4675</v>
      </c>
      <c r="D738" s="2" t="s">
        <v>24</v>
      </c>
      <c r="E738" s="2" t="s">
        <v>4676</v>
      </c>
      <c r="F738" s="2">
        <v>0</v>
      </c>
      <c r="G738" s="2" t="s">
        <v>3176</v>
      </c>
      <c r="H738" s="2" t="s">
        <v>173</v>
      </c>
      <c r="I738" s="2" t="s">
        <v>474</v>
      </c>
      <c r="J738" s="2" t="s">
        <v>2772</v>
      </c>
      <c r="K738" s="2" t="s">
        <v>186</v>
      </c>
      <c r="L738" s="2" t="s">
        <v>3009</v>
      </c>
      <c r="M738" s="2" t="s">
        <v>2706</v>
      </c>
      <c r="N738" s="2" t="s">
        <v>2706</v>
      </c>
      <c r="O738" s="2" t="str">
        <f>_xlfn.IFNA(+VLOOKUP(Maestro_Clientes[[#This Row],[Zona]],Tabla1[[#All],[Cruce Reportes]:[ENTREGA ]],2,0),Maestro_Clientes[[#This Row],[Zona]])</f>
        <v>EXPRESO</v>
      </c>
      <c r="P738" s="2" t="str">
        <f>+VLOOKUP(Maestro_Clientes[[#This Row],[Entrega]],Preparacion!A:B,2,0)</f>
        <v>Expreso</v>
      </c>
    </row>
    <row r="739" spans="1:17" customFormat="1" x14ac:dyDescent="0.25">
      <c r="A739" s="2" t="s">
        <v>4685</v>
      </c>
      <c r="B739" s="2" t="s">
        <v>4686</v>
      </c>
      <c r="C739" s="2" t="s">
        <v>4687</v>
      </c>
      <c r="D739" s="2" t="s">
        <v>8</v>
      </c>
      <c r="E739" s="2" t="s">
        <v>4688</v>
      </c>
      <c r="F739" s="2">
        <v>1014</v>
      </c>
      <c r="G739" s="2" t="s">
        <v>59</v>
      </c>
      <c r="H739" s="2" t="s">
        <v>85</v>
      </c>
      <c r="I739" s="2" t="s">
        <v>85</v>
      </c>
      <c r="J739" s="2" t="s">
        <v>2910</v>
      </c>
      <c r="K739" s="2" t="s">
        <v>12</v>
      </c>
      <c r="L739" s="2" t="s">
        <v>3023</v>
      </c>
      <c r="M739" s="2" t="s">
        <v>2706</v>
      </c>
      <c r="N739" s="2" t="s">
        <v>66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4901</v>
      </c>
      <c r="B740" s="2" t="s">
        <v>1102</v>
      </c>
      <c r="C740" s="2" t="s">
        <v>1103</v>
      </c>
      <c r="D740" s="2" t="s">
        <v>8</v>
      </c>
      <c r="E740" s="2" t="s">
        <v>4902</v>
      </c>
      <c r="F740" s="2">
        <v>1025</v>
      </c>
      <c r="G740" s="2" t="s">
        <v>113</v>
      </c>
      <c r="H740" s="2" t="s">
        <v>4903</v>
      </c>
      <c r="I740" s="2" t="s">
        <v>62</v>
      </c>
      <c r="J740" s="2" t="s">
        <v>2831</v>
      </c>
      <c r="K740" s="2" t="s">
        <v>63</v>
      </c>
      <c r="L740" s="2" t="s">
        <v>3023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LUNES</v>
      </c>
      <c r="P740" s="2" t="str">
        <f>+VLOOKUP(Maestro_Clientes[[#This Row],[Entrega]],Preparacion!A:B,2,0)</f>
        <v>JUEVES</v>
      </c>
      <c r="Q740" s="2"/>
    </row>
    <row r="741" spans="1:17" customFormat="1" x14ac:dyDescent="0.25">
      <c r="A741" s="2" t="s">
        <v>2437</v>
      </c>
      <c r="B741" s="2" t="s">
        <v>2433</v>
      </c>
      <c r="C741" s="2" t="s">
        <v>2434</v>
      </c>
      <c r="D741" s="2" t="s">
        <v>8</v>
      </c>
      <c r="E741" s="2" t="s">
        <v>2436</v>
      </c>
      <c r="F741" s="2">
        <v>1025</v>
      </c>
      <c r="G741" s="2" t="s">
        <v>113</v>
      </c>
      <c r="H741" s="2" t="s">
        <v>2435</v>
      </c>
      <c r="I741" s="2" t="s">
        <v>474</v>
      </c>
      <c r="J741" s="2" t="s">
        <v>2772</v>
      </c>
      <c r="K741" s="2" t="s">
        <v>186</v>
      </c>
      <c r="L741" s="2" t="s">
        <v>3176</v>
      </c>
      <c r="M741" s="2" t="s">
        <v>118</v>
      </c>
      <c r="N741" s="2" t="s">
        <v>119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766</v>
      </c>
      <c r="B742" s="2" t="s">
        <v>761</v>
      </c>
      <c r="C742" s="2" t="s">
        <v>762</v>
      </c>
      <c r="D742" s="2" t="s">
        <v>8</v>
      </c>
      <c r="E742" s="2" t="s">
        <v>764</v>
      </c>
      <c r="F742" s="2">
        <v>1014</v>
      </c>
      <c r="G742" s="2" t="s">
        <v>59</v>
      </c>
      <c r="H742" s="2" t="s">
        <v>763</v>
      </c>
      <c r="I742" s="2" t="s">
        <v>765</v>
      </c>
      <c r="J742" s="2" t="s">
        <v>2733</v>
      </c>
      <c r="K742" s="2" t="s">
        <v>12</v>
      </c>
      <c r="L742" s="2" t="s">
        <v>3176</v>
      </c>
      <c r="M742" s="2" t="s">
        <v>2706</v>
      </c>
      <c r="N742" s="2" t="s">
        <v>66</v>
      </c>
      <c r="O742" s="2" t="str">
        <f>_xlfn.IFNA(+VLOOKUP(Maestro_Clientes[[#This Row],[Zona]],Tabla1[[#All],[Cruce Reportes]:[ENTREGA ]],2,0),Maestro_Clientes[[#This Row],[Zona]])</f>
        <v>Expreso</v>
      </c>
      <c r="P742" s="2" t="str">
        <f>+VLOOKUP(Maestro_Clientes[[#This Row],[Entrega]],Preparacion!A:B,2,0)</f>
        <v>Expreso</v>
      </c>
    </row>
    <row r="743" spans="1:17" customFormat="1" x14ac:dyDescent="0.25">
      <c r="A743" s="2" t="s">
        <v>5193</v>
      </c>
      <c r="B743" s="2" t="s">
        <v>5191</v>
      </c>
      <c r="C743" s="2" t="s">
        <v>5192</v>
      </c>
      <c r="D743" s="2" t="s">
        <v>8</v>
      </c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 t="s">
        <v>3158</v>
      </c>
      <c r="P743" s="2" t="str">
        <f>+VLOOKUP(Maestro_Clientes[[#This Row],[Entrega]],Preparacion!A:B,2,0)</f>
        <v>MIERCOLES</v>
      </c>
    </row>
    <row r="744" spans="1:17" customFormat="1" x14ac:dyDescent="0.25">
      <c r="A744" s="2" t="s">
        <v>3455</v>
      </c>
      <c r="B744" s="2" t="s">
        <v>3456</v>
      </c>
      <c r="C744" s="2" t="s">
        <v>3457</v>
      </c>
      <c r="D744" s="2" t="s">
        <v>8</v>
      </c>
      <c r="E744" s="2" t="s">
        <v>3458</v>
      </c>
      <c r="F744" s="2">
        <v>1018</v>
      </c>
      <c r="G744" s="2" t="s">
        <v>1886</v>
      </c>
      <c r="H744" s="2" t="s">
        <v>71</v>
      </c>
      <c r="I744" s="2" t="s">
        <v>62</v>
      </c>
      <c r="J744" s="2" t="s">
        <v>3002</v>
      </c>
      <c r="K744" s="2" t="s">
        <v>63</v>
      </c>
      <c r="L744" s="2" t="s">
        <v>3023</v>
      </c>
      <c r="M744" s="2" t="s">
        <v>1887</v>
      </c>
      <c r="N744" s="2" t="s">
        <v>1888</v>
      </c>
      <c r="O744" s="2" t="str">
        <f>_xlfn.IFNA(+VLOOKUP(Maestro_Clientes[[#This Row],[Zona]],Tabla1[[#All],[Cruce Reportes]:[ENTREGA ]],2,0),Maestro_Clientes[[#This Row],[Zona]])</f>
        <v>LUNES</v>
      </c>
      <c r="P744" s="2" t="str">
        <f>+VLOOKUP(Maestro_Clientes[[#This Row],[Entrega]],Preparacion!A:B,2,0)</f>
        <v>JUEVES</v>
      </c>
      <c r="Q744" s="2"/>
    </row>
    <row r="745" spans="1:17" customFormat="1" x14ac:dyDescent="0.25">
      <c r="A745" s="2" t="s">
        <v>2353</v>
      </c>
      <c r="B745" s="2" t="s">
        <v>2349</v>
      </c>
      <c r="C745" s="2" t="s">
        <v>2350</v>
      </c>
      <c r="D745" s="2" t="s">
        <v>8</v>
      </c>
      <c r="E745" s="2" t="s">
        <v>2351</v>
      </c>
      <c r="F745" s="2">
        <v>1002</v>
      </c>
      <c r="G745" s="2" t="s">
        <v>34</v>
      </c>
      <c r="H745" s="2" t="s">
        <v>184</v>
      </c>
      <c r="I745" s="2" t="s">
        <v>2352</v>
      </c>
      <c r="J745" s="2" t="s">
        <v>2969</v>
      </c>
      <c r="K745" s="2" t="s">
        <v>186</v>
      </c>
      <c r="L745" s="2" t="s">
        <v>3176</v>
      </c>
      <c r="M745" s="2" t="s">
        <v>39</v>
      </c>
      <c r="N745" s="2" t="s">
        <v>40</v>
      </c>
      <c r="O745" s="2" t="str">
        <f>_xlfn.IFNA(+VLOOKUP(Maestro_Clientes[[#This Row],[Zona]],Tabla1[[#All],[Cruce Reportes]:[ENTREGA ]],2,0),Maestro_Clientes[[#This Row],[Zona]])</f>
        <v>Expreso</v>
      </c>
      <c r="P745" s="2" t="str">
        <f>+VLOOKUP(Maestro_Clientes[[#This Row],[Entrega]],Preparacion!A:B,2,0)</f>
        <v>Expreso</v>
      </c>
    </row>
    <row r="746" spans="1:17" customFormat="1" x14ac:dyDescent="0.25">
      <c r="A746" s="2" t="s">
        <v>3459</v>
      </c>
      <c r="B746" s="2" t="s">
        <v>3460</v>
      </c>
      <c r="C746" s="2" t="s">
        <v>3461</v>
      </c>
      <c r="D746" s="2" t="s">
        <v>8</v>
      </c>
      <c r="E746" s="2" t="s">
        <v>3462</v>
      </c>
      <c r="F746" s="2">
        <v>1025</v>
      </c>
      <c r="G746" s="2" t="s">
        <v>113</v>
      </c>
      <c r="H746" s="2" t="s">
        <v>71</v>
      </c>
      <c r="I746" s="2" t="s">
        <v>3463</v>
      </c>
      <c r="J746" s="2" t="s">
        <v>2833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358</v>
      </c>
      <c r="B747" s="2" t="s">
        <v>354</v>
      </c>
      <c r="C747" s="2" t="s">
        <v>355</v>
      </c>
      <c r="D747" s="2" t="s">
        <v>8</v>
      </c>
      <c r="E747" s="2" t="s">
        <v>357</v>
      </c>
      <c r="F747" s="2">
        <v>1025</v>
      </c>
      <c r="G747" s="2" t="s">
        <v>113</v>
      </c>
      <c r="H747" s="2" t="s">
        <v>356</v>
      </c>
      <c r="I747" s="2" t="s">
        <v>62</v>
      </c>
      <c r="J747" s="2" t="s">
        <v>2711</v>
      </c>
      <c r="K747" s="2" t="s">
        <v>63</v>
      </c>
      <c r="L747" s="2" t="s">
        <v>3023</v>
      </c>
      <c r="M747" s="2" t="s">
        <v>118</v>
      </c>
      <c r="N747" s="2" t="s">
        <v>119</v>
      </c>
      <c r="O747" s="2" t="str">
        <f>_xlfn.IFNA(+VLOOKUP(Maestro_Clientes[[#This Row],[Zona]],Tabla1[[#All],[Cruce Reportes]:[ENTREGA ]],2,0),Maestro_Clientes[[#This Row],[Zona]])</f>
        <v>LUNES</v>
      </c>
      <c r="P747" s="2" t="str">
        <f>+VLOOKUP(Maestro_Clientes[[#This Row],[Entrega]],Preparacion!A:B,2,0)</f>
        <v>JUEVES</v>
      </c>
      <c r="Q747" s="2"/>
    </row>
    <row r="748" spans="1:17" customFormat="1" x14ac:dyDescent="0.25">
      <c r="A748" s="2" t="s">
        <v>5073</v>
      </c>
      <c r="B748" s="2" t="s">
        <v>5071</v>
      </c>
      <c r="C748" s="2" t="s">
        <v>5072</v>
      </c>
      <c r="D748" s="2" t="s">
        <v>8</v>
      </c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 t="s">
        <v>3116</v>
      </c>
      <c r="P748" s="2" t="str">
        <f>+VLOOKUP(Maestro_Clientes[[#This Row],[Entrega]],Preparacion!A:B,2,0)</f>
        <v>LUNES</v>
      </c>
    </row>
    <row r="749" spans="1:17" customFormat="1" x14ac:dyDescent="0.25">
      <c r="A749" s="2" t="s">
        <v>3261</v>
      </c>
      <c r="B749" s="2" t="s">
        <v>3262</v>
      </c>
      <c r="C749" s="2" t="s">
        <v>3263</v>
      </c>
      <c r="D749" s="2" t="s">
        <v>8</v>
      </c>
      <c r="E749" s="2" t="s">
        <v>3264</v>
      </c>
      <c r="F749" s="2">
        <v>0</v>
      </c>
      <c r="G749" s="2" t="s">
        <v>3176</v>
      </c>
      <c r="H749" s="2" t="s">
        <v>356</v>
      </c>
      <c r="I749" s="2" t="s">
        <v>63</v>
      </c>
      <c r="J749" s="2" t="s">
        <v>3002</v>
      </c>
      <c r="K749" s="2" t="s">
        <v>63</v>
      </c>
      <c r="L749" s="2" t="s">
        <v>3023</v>
      </c>
      <c r="M749" s="2" t="s">
        <v>2706</v>
      </c>
      <c r="N749" s="2" t="s">
        <v>2706</v>
      </c>
      <c r="O749" s="2" t="str">
        <f>_xlfn.IFNA(+VLOOKUP(Maestro_Clientes[[#This Row],[Zona]],Tabla1[[#All],[Cruce Reportes]:[ENTREGA ]],2,0),Maestro_Clientes[[#This Row],[Zona]])</f>
        <v>LUNES</v>
      </c>
      <c r="P749" s="2" t="str">
        <f>+VLOOKUP(Maestro_Clientes[[#This Row],[Entrega]],Preparacion!A:B,2,0)</f>
        <v>JUEVES</v>
      </c>
      <c r="Q749" s="2"/>
    </row>
    <row r="750" spans="1:17" customFormat="1" x14ac:dyDescent="0.25">
      <c r="A750" s="2" t="s">
        <v>5245</v>
      </c>
      <c r="B750" s="2" t="s">
        <v>5243</v>
      </c>
      <c r="C750" s="2" t="s">
        <v>5244</v>
      </c>
      <c r="D750" s="2" t="s">
        <v>8</v>
      </c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 t="s">
        <v>3176</v>
      </c>
      <c r="P750" s="2" t="str">
        <f>+VLOOKUP(Maestro_Clientes[[#This Row],[Entrega]],Preparacion!A:B,2,0)</f>
        <v>Expreso</v>
      </c>
      <c r="Q750" s="2"/>
    </row>
    <row r="751" spans="1:17" customFormat="1" x14ac:dyDescent="0.25">
      <c r="A751" s="2" t="s">
        <v>1324</v>
      </c>
      <c r="B751" s="2" t="s">
        <v>1319</v>
      </c>
      <c r="C751" s="2" t="s">
        <v>1320</v>
      </c>
      <c r="D751" s="2" t="s">
        <v>8</v>
      </c>
      <c r="E751" s="2" t="s">
        <v>1322</v>
      </c>
      <c r="F751" s="2">
        <v>1014</v>
      </c>
      <c r="G751" s="2" t="s">
        <v>59</v>
      </c>
      <c r="H751" s="2" t="s">
        <v>1321</v>
      </c>
      <c r="I751" s="2" t="s">
        <v>1323</v>
      </c>
      <c r="J751" s="2" t="s">
        <v>2870</v>
      </c>
      <c r="K751" s="2" t="s">
        <v>12</v>
      </c>
      <c r="L751" s="2" t="s">
        <v>3176</v>
      </c>
      <c r="M751" s="2" t="s">
        <v>2706</v>
      </c>
      <c r="N751" s="2" t="s">
        <v>66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289</v>
      </c>
      <c r="B752" s="2" t="s">
        <v>283</v>
      </c>
      <c r="C752" s="2" t="s">
        <v>284</v>
      </c>
      <c r="D752" s="2" t="s">
        <v>8</v>
      </c>
      <c r="E752" s="2" t="s">
        <v>286</v>
      </c>
      <c r="F752" s="2">
        <v>1034</v>
      </c>
      <c r="G752" s="2" t="s">
        <v>158</v>
      </c>
      <c r="H752" s="2" t="s">
        <v>285</v>
      </c>
      <c r="I752" s="2" t="s">
        <v>287</v>
      </c>
      <c r="J752" s="2" t="s">
        <v>2747</v>
      </c>
      <c r="K752" s="2" t="s">
        <v>288</v>
      </c>
      <c r="L752" s="2" t="s">
        <v>3176</v>
      </c>
      <c r="M752" s="2" t="s">
        <v>2706</v>
      </c>
      <c r="N752" s="2" t="s">
        <v>163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4661</v>
      </c>
      <c r="B753" s="2" t="s">
        <v>4662</v>
      </c>
      <c r="C753" s="2" t="s">
        <v>4663</v>
      </c>
      <c r="D753" s="2" t="s">
        <v>8</v>
      </c>
      <c r="E753" s="2" t="s">
        <v>4664</v>
      </c>
      <c r="F753" s="2">
        <v>1025</v>
      </c>
      <c r="G753" s="2" t="s">
        <v>113</v>
      </c>
      <c r="H753" s="2" t="s">
        <v>4665</v>
      </c>
      <c r="I753" s="2" t="s">
        <v>237</v>
      </c>
      <c r="J753" s="2" t="s">
        <v>2738</v>
      </c>
      <c r="K753" s="2" t="s">
        <v>237</v>
      </c>
      <c r="L753" s="2" t="s">
        <v>3009</v>
      </c>
      <c r="M753" s="2" t="s">
        <v>118</v>
      </c>
      <c r="N753" s="2" t="s">
        <v>119</v>
      </c>
      <c r="O753" s="2" t="str">
        <f>_xlfn.IFNA(+VLOOKUP(Maestro_Clientes[[#This Row],[Zona]],Tabla1[[#All],[Cruce Reportes]:[ENTREGA ]],2,0),Maestro_Clientes[[#This Row],[Zona]])</f>
        <v>EXPRESO</v>
      </c>
      <c r="P753" s="2" t="str">
        <f>+VLOOKUP(Maestro_Clientes[[#This Row],[Entrega]],Preparacion!A:B,2,0)</f>
        <v>Expreso</v>
      </c>
    </row>
    <row r="754" spans="1:17" customFormat="1" x14ac:dyDescent="0.25">
      <c r="A754" s="2" t="s">
        <v>2338</v>
      </c>
      <c r="B754" s="2" t="s">
        <v>2334</v>
      </c>
      <c r="C754" s="2" t="s">
        <v>2335</v>
      </c>
      <c r="D754" s="2" t="s">
        <v>8</v>
      </c>
      <c r="E754" s="2" t="s">
        <v>2337</v>
      </c>
      <c r="F754" s="2">
        <v>1034</v>
      </c>
      <c r="G754" s="2" t="s">
        <v>158</v>
      </c>
      <c r="H754" s="2" t="s">
        <v>2336</v>
      </c>
      <c r="I754" s="2" t="s">
        <v>2336</v>
      </c>
      <c r="J754" s="2" t="s">
        <v>2966</v>
      </c>
      <c r="K754" s="2" t="s">
        <v>12</v>
      </c>
      <c r="L754" s="2" t="s">
        <v>329</v>
      </c>
      <c r="M754" s="2" t="s">
        <v>2706</v>
      </c>
      <c r="N754" s="2" t="s">
        <v>163</v>
      </c>
      <c r="O754" s="2" t="str">
        <f>_xlfn.IFNA(+VLOOKUP(Maestro_Clientes[[#This Row],[Zona]],Tabla1[[#All],[Cruce Reportes]:[ENTREGA ]],2,0),Maestro_Clientes[[#This Row],[Zona]])</f>
        <v>MIERCOLES</v>
      </c>
      <c r="P754" s="2" t="str">
        <f>+VLOOKUP(Maestro_Clientes[[#This Row],[Entrega]],Preparacion!A:B,2,0)</f>
        <v>LUNES</v>
      </c>
    </row>
    <row r="755" spans="1:17" customFormat="1" x14ac:dyDescent="0.25">
      <c r="A755" s="2" t="s">
        <v>5032</v>
      </c>
      <c r="B755" s="2" t="s">
        <v>2334</v>
      </c>
      <c r="C755" s="2" t="s">
        <v>2335</v>
      </c>
      <c r="D755" s="2" t="s">
        <v>8</v>
      </c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 t="s">
        <v>3176</v>
      </c>
      <c r="P755" s="2" t="s">
        <v>3176</v>
      </c>
      <c r="Q755" s="2"/>
    </row>
    <row r="756" spans="1:17" customFormat="1" x14ac:dyDescent="0.25">
      <c r="A756" s="2" t="s">
        <v>2411</v>
      </c>
      <c r="B756" s="2" t="s">
        <v>2408</v>
      </c>
      <c r="C756" s="2" t="s">
        <v>2409</v>
      </c>
      <c r="D756" s="2" t="s">
        <v>8</v>
      </c>
      <c r="E756" s="2" t="s">
        <v>2410</v>
      </c>
      <c r="F756" s="2">
        <v>1002</v>
      </c>
      <c r="G756" s="2" t="s">
        <v>34</v>
      </c>
      <c r="H756" s="2" t="s">
        <v>1980</v>
      </c>
      <c r="I756" s="2" t="s">
        <v>1980</v>
      </c>
      <c r="J756" s="2" t="s">
        <v>2978</v>
      </c>
      <c r="K756" s="2" t="s">
        <v>12</v>
      </c>
      <c r="L756" s="2" t="s">
        <v>630</v>
      </c>
      <c r="M756" s="2" t="s">
        <v>39</v>
      </c>
      <c r="N756" s="2" t="s">
        <v>40</v>
      </c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5216</v>
      </c>
      <c r="B757" s="2" t="s">
        <v>5215</v>
      </c>
      <c r="C757" s="2" t="s">
        <v>5217</v>
      </c>
      <c r="D757" s="2" t="s">
        <v>8</v>
      </c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 t="s">
        <v>3125</v>
      </c>
      <c r="P757" s="2" t="str">
        <f>+VLOOKUP(Maestro_Clientes[[#This Row],[Entrega]],Preparacion!A:B,2,0)</f>
        <v>MARTES</v>
      </c>
    </row>
    <row r="758" spans="1:17" customFormat="1" x14ac:dyDescent="0.25">
      <c r="A758" s="2" t="s">
        <v>1346</v>
      </c>
      <c r="B758" s="2" t="s">
        <v>106</v>
      </c>
      <c r="C758" s="2" t="s">
        <v>107</v>
      </c>
      <c r="D758" s="2" t="s">
        <v>8</v>
      </c>
      <c r="E758" s="2" t="s">
        <v>1344</v>
      </c>
      <c r="F758" s="2">
        <v>1014</v>
      </c>
      <c r="G758" s="2" t="s">
        <v>59</v>
      </c>
      <c r="H758" s="2" t="s">
        <v>1343</v>
      </c>
      <c r="I758" s="2" t="s">
        <v>1345</v>
      </c>
      <c r="J758" s="2" t="s">
        <v>2872</v>
      </c>
      <c r="K758" s="2" t="s">
        <v>12</v>
      </c>
      <c r="L758" s="2" t="s">
        <v>104</v>
      </c>
      <c r="M758" s="2" t="s">
        <v>2706</v>
      </c>
      <c r="N758" s="2" t="s">
        <v>66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1829</v>
      </c>
      <c r="B759" s="2" t="s">
        <v>106</v>
      </c>
      <c r="C759" s="2" t="s">
        <v>107</v>
      </c>
      <c r="D759" s="2" t="s">
        <v>8</v>
      </c>
      <c r="E759" s="2" t="s">
        <v>1828</v>
      </c>
      <c r="F759" s="2">
        <v>1025</v>
      </c>
      <c r="G759" s="2" t="s">
        <v>113</v>
      </c>
      <c r="H759" s="2" t="s">
        <v>1817</v>
      </c>
      <c r="I759" s="2" t="s">
        <v>1817</v>
      </c>
      <c r="J759" s="2" t="s">
        <v>2920</v>
      </c>
      <c r="K759" s="2" t="s">
        <v>12</v>
      </c>
      <c r="L759" s="2" t="s">
        <v>104</v>
      </c>
      <c r="M759" s="2" t="s">
        <v>118</v>
      </c>
      <c r="N759" s="2" t="s">
        <v>119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110</v>
      </c>
      <c r="B760" s="2" t="s">
        <v>106</v>
      </c>
      <c r="C760" s="2" t="s">
        <v>107</v>
      </c>
      <c r="D760" s="2" t="s">
        <v>8</v>
      </c>
      <c r="E760" s="2" t="s">
        <v>109</v>
      </c>
      <c r="F760" s="2">
        <v>1001</v>
      </c>
      <c r="G760" s="2" t="s">
        <v>9</v>
      </c>
      <c r="H760" s="2" t="s">
        <v>108</v>
      </c>
      <c r="I760" s="2" t="s">
        <v>108</v>
      </c>
      <c r="J760" s="2" t="s">
        <v>2717</v>
      </c>
      <c r="K760" s="2" t="s">
        <v>12</v>
      </c>
      <c r="L760" s="2" t="s">
        <v>108</v>
      </c>
      <c r="M760" s="2" t="s">
        <v>14</v>
      </c>
      <c r="N760" s="2" t="s">
        <v>15</v>
      </c>
      <c r="O760" s="2" t="s">
        <v>3158</v>
      </c>
      <c r="P760" s="2" t="str">
        <f>+VLOOKUP(Maestro_Clientes[[#This Row],[Entrega]],Preparacion!A:B,2,0)</f>
        <v>MIERCOLES</v>
      </c>
    </row>
    <row r="761" spans="1:17" customFormat="1" x14ac:dyDescent="0.25">
      <c r="A761" s="2" t="s">
        <v>4693</v>
      </c>
      <c r="B761" s="2" t="s">
        <v>4694</v>
      </c>
      <c r="C761" s="2" t="s">
        <v>4695</v>
      </c>
      <c r="D761" s="2" t="s">
        <v>8</v>
      </c>
      <c r="E761" s="2" t="s">
        <v>4696</v>
      </c>
      <c r="F761" s="2">
        <v>1028</v>
      </c>
      <c r="G761" s="2" t="s">
        <v>81</v>
      </c>
      <c r="H761" s="2" t="s">
        <v>4697</v>
      </c>
      <c r="I761" s="2" t="s">
        <v>1295</v>
      </c>
      <c r="J761" s="2" t="s">
        <v>2866</v>
      </c>
      <c r="K761" s="2" t="s">
        <v>243</v>
      </c>
      <c r="L761" s="2" t="s">
        <v>3009</v>
      </c>
      <c r="M761" s="2" t="s">
        <v>87</v>
      </c>
      <c r="N761" s="2" t="s">
        <v>88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3794</v>
      </c>
      <c r="B762" s="2" t="s">
        <v>3795</v>
      </c>
      <c r="C762" s="2" t="s">
        <v>3796</v>
      </c>
      <c r="D762" s="2" t="s">
        <v>8</v>
      </c>
      <c r="E762" s="2" t="s">
        <v>3797</v>
      </c>
      <c r="F762" s="2">
        <v>1025</v>
      </c>
      <c r="G762" s="2" t="s">
        <v>113</v>
      </c>
      <c r="H762" s="2" t="s">
        <v>179</v>
      </c>
      <c r="I762" s="2" t="s">
        <v>3798</v>
      </c>
      <c r="J762" s="2" t="s">
        <v>3799</v>
      </c>
      <c r="K762" s="2" t="s">
        <v>140</v>
      </c>
      <c r="L762" s="2" t="s">
        <v>3176</v>
      </c>
      <c r="M762" s="2" t="s">
        <v>118</v>
      </c>
      <c r="N762" s="2" t="s">
        <v>119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customFormat="1" x14ac:dyDescent="0.25">
      <c r="A763" s="2" t="s">
        <v>293</v>
      </c>
      <c r="B763" s="2" t="s">
        <v>290</v>
      </c>
      <c r="C763" s="2" t="s">
        <v>291</v>
      </c>
      <c r="D763" s="2" t="s">
        <v>8</v>
      </c>
      <c r="E763" s="2" t="s">
        <v>292</v>
      </c>
      <c r="F763" s="2">
        <v>1014</v>
      </c>
      <c r="G763" s="2" t="s">
        <v>59</v>
      </c>
      <c r="H763" s="2" t="s">
        <v>267</v>
      </c>
      <c r="I763" s="2" t="s">
        <v>237</v>
      </c>
      <c r="J763" s="2" t="s">
        <v>2738</v>
      </c>
      <c r="K763" s="2" t="s">
        <v>237</v>
      </c>
      <c r="L763" s="2" t="s">
        <v>3176</v>
      </c>
      <c r="M763" s="2" t="s">
        <v>2706</v>
      </c>
      <c r="N763" s="2" t="s">
        <v>66</v>
      </c>
      <c r="O763" s="2" t="str">
        <f>_xlfn.IFNA(+VLOOKUP(Maestro_Clientes[[#This Row],[Zona]],Tabla1[[#All],[Cruce Reportes]:[ENTREGA ]],2,0),Maestro_Clientes[[#This Row],[Zona]])</f>
        <v>Expreso</v>
      </c>
      <c r="P763" s="2" t="str">
        <f>+VLOOKUP(Maestro_Clientes[[#This Row],[Entrega]],Preparacion!A:B,2,0)</f>
        <v>Expreso</v>
      </c>
    </row>
    <row r="764" spans="1:17" x14ac:dyDescent="0.25">
      <c r="A764" s="2" t="s">
        <v>4609</v>
      </c>
      <c r="B764" s="2" t="s">
        <v>4610</v>
      </c>
      <c r="C764" s="2" t="s">
        <v>4611</v>
      </c>
      <c r="D764" s="2" t="s">
        <v>8</v>
      </c>
      <c r="E764" s="2" t="s">
        <v>4612</v>
      </c>
      <c r="F764" s="2">
        <v>1025</v>
      </c>
      <c r="G764" s="2" t="s">
        <v>113</v>
      </c>
      <c r="H764" s="2" t="s">
        <v>356</v>
      </c>
      <c r="I764" s="2" t="s">
        <v>63</v>
      </c>
      <c r="J764" s="2" t="s">
        <v>2833</v>
      </c>
      <c r="K764" s="2" t="s">
        <v>63</v>
      </c>
      <c r="L764" s="2" t="s">
        <v>3023</v>
      </c>
      <c r="M764" s="2" t="s">
        <v>118</v>
      </c>
      <c r="N764" s="2" t="s">
        <v>119</v>
      </c>
      <c r="O764" s="2" t="str">
        <f>_xlfn.IFNA(+VLOOKUP(Maestro_Clientes[[#This Row],[Zona]],Tabla1[[#All],[Cruce Reportes]:[ENTREGA ]],2,0),Maestro_Clientes[[#This Row],[Zona]])</f>
        <v>LUNES</v>
      </c>
      <c r="P764" s="2" t="str">
        <f>+VLOOKUP(Maestro_Clientes[[#This Row],[Entrega]],Preparacion!A:B,2,0)</f>
        <v>JUEVES</v>
      </c>
    </row>
    <row r="765" spans="1:17" customFormat="1" x14ac:dyDescent="0.25">
      <c r="A765" s="2" t="s">
        <v>1684</v>
      </c>
      <c r="B765" s="2" t="s">
        <v>1679</v>
      </c>
      <c r="C765" s="2" t="s">
        <v>1680</v>
      </c>
      <c r="D765" s="2" t="s">
        <v>24</v>
      </c>
      <c r="E765" s="2" t="s">
        <v>1682</v>
      </c>
      <c r="F765" s="2">
        <v>0</v>
      </c>
      <c r="G765" s="2" t="s">
        <v>3176</v>
      </c>
      <c r="H765" s="2" t="s">
        <v>1681</v>
      </c>
      <c r="I765" s="2" t="s">
        <v>1683</v>
      </c>
      <c r="J765" s="2" t="s">
        <v>2905</v>
      </c>
      <c r="K765" s="2" t="s">
        <v>12</v>
      </c>
      <c r="L765" s="2" t="s">
        <v>3176</v>
      </c>
      <c r="M765" s="2" t="s">
        <v>2706</v>
      </c>
      <c r="N765" s="2" t="s">
        <v>2706</v>
      </c>
      <c r="O765" s="2" t="str">
        <f>_xlfn.IFNA(+VLOOKUP(Maestro_Clientes[[#This Row],[Zona]],Tabla1[[#All],[Cruce Reportes]:[ENTREGA ]],2,0),Maestro_Clientes[[#This Row],[Zona]])</f>
        <v>Expreso</v>
      </c>
      <c r="P765" s="2" t="str">
        <f>+VLOOKUP(Maestro_Clientes[[#This Row],[Entrega]],Preparacion!A:B,2,0)</f>
        <v>Expreso</v>
      </c>
    </row>
    <row r="766" spans="1:17" customFormat="1" x14ac:dyDescent="0.25">
      <c r="A766" s="2" t="s">
        <v>4208</v>
      </c>
      <c r="B766" s="2" t="s">
        <v>4209</v>
      </c>
      <c r="C766" s="2" t="s">
        <v>4210</v>
      </c>
      <c r="D766" s="2" t="s">
        <v>8</v>
      </c>
      <c r="E766" s="2" t="s">
        <v>4211</v>
      </c>
      <c r="F766" s="2">
        <v>1025</v>
      </c>
      <c r="G766" s="2" t="s">
        <v>113</v>
      </c>
      <c r="H766" s="2" t="s">
        <v>1075</v>
      </c>
      <c r="I766" s="2" t="s">
        <v>62</v>
      </c>
      <c r="J766" s="2" t="s">
        <v>2861</v>
      </c>
      <c r="K766" s="2" t="s">
        <v>63</v>
      </c>
      <c r="L766" s="2" t="s">
        <v>3023</v>
      </c>
      <c r="M766" s="2" t="s">
        <v>118</v>
      </c>
      <c r="N766" s="2" t="s">
        <v>119</v>
      </c>
      <c r="O766" s="2" t="str">
        <f>_xlfn.IFNA(+VLOOKUP(Maestro_Clientes[[#This Row],[Zona]],Tabla1[[#All],[Cruce Reportes]:[ENTREGA ]],2,0),Maestro_Clientes[[#This Row],[Zona]])</f>
        <v>LUNES</v>
      </c>
      <c r="P766" s="2" t="str">
        <f>+VLOOKUP(Maestro_Clientes[[#This Row],[Entrega]],Preparacion!A:B,2,0)</f>
        <v>JUEVES</v>
      </c>
      <c r="Q766" s="2"/>
    </row>
    <row r="767" spans="1:17" customFormat="1" x14ac:dyDescent="0.25">
      <c r="A767" s="2" t="s">
        <v>3809</v>
      </c>
      <c r="B767" s="2" t="s">
        <v>3810</v>
      </c>
      <c r="C767" s="2" t="s">
        <v>3811</v>
      </c>
      <c r="D767" s="2" t="s">
        <v>8</v>
      </c>
      <c r="E767" s="2" t="s">
        <v>3812</v>
      </c>
      <c r="F767" s="2">
        <v>1034</v>
      </c>
      <c r="G767" s="2" t="s">
        <v>158</v>
      </c>
      <c r="H767" s="2" t="s">
        <v>144</v>
      </c>
      <c r="I767" s="2" t="s">
        <v>175</v>
      </c>
      <c r="J767" s="2" t="s">
        <v>2728</v>
      </c>
      <c r="K767" s="2" t="s">
        <v>147</v>
      </c>
      <c r="L767" s="2" t="s">
        <v>3176</v>
      </c>
      <c r="M767" s="2" t="s">
        <v>2706</v>
      </c>
      <c r="N767" s="2" t="s">
        <v>163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</row>
    <row r="768" spans="1:17" x14ac:dyDescent="0.25">
      <c r="A768" s="2" t="s">
        <v>4698</v>
      </c>
      <c r="B768" s="2" t="s">
        <v>4699</v>
      </c>
      <c r="C768" s="2" t="s">
        <v>4700</v>
      </c>
      <c r="D768" s="2" t="s">
        <v>8</v>
      </c>
      <c r="E768" s="2" t="s">
        <v>4701</v>
      </c>
      <c r="F768" s="2">
        <v>1025</v>
      </c>
      <c r="G768" s="2" t="s">
        <v>113</v>
      </c>
      <c r="H768" s="2" t="s">
        <v>166</v>
      </c>
      <c r="I768" s="2" t="s">
        <v>4702</v>
      </c>
      <c r="J768" s="2" t="s">
        <v>4703</v>
      </c>
      <c r="K768" s="2" t="s">
        <v>169</v>
      </c>
      <c r="L768" s="2" t="s">
        <v>3009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x14ac:dyDescent="0.25">
      <c r="A769" s="2" t="s">
        <v>3780</v>
      </c>
      <c r="B769" s="2" t="s">
        <v>3781</v>
      </c>
      <c r="C769" s="2" t="s">
        <v>3782</v>
      </c>
      <c r="D769" s="2" t="s">
        <v>8</v>
      </c>
      <c r="E769" s="2" t="s">
        <v>3595</v>
      </c>
      <c r="F769" s="2">
        <v>1025</v>
      </c>
      <c r="G769" s="2" t="s">
        <v>113</v>
      </c>
      <c r="H769" s="2" t="s">
        <v>173</v>
      </c>
      <c r="I769" s="2" t="s">
        <v>517</v>
      </c>
      <c r="J769" s="2" t="s">
        <v>2777</v>
      </c>
      <c r="K769" s="2" t="s">
        <v>518</v>
      </c>
      <c r="L769" s="2" t="s">
        <v>3176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  <c r="Q769"/>
    </row>
    <row r="770" spans="1:17" customFormat="1" x14ac:dyDescent="0.25">
      <c r="A770" s="2" t="s">
        <v>4704</v>
      </c>
      <c r="B770" s="2" t="s">
        <v>4705</v>
      </c>
      <c r="C770" s="2" t="s">
        <v>4706</v>
      </c>
      <c r="D770" s="2" t="s">
        <v>8</v>
      </c>
      <c r="E770" s="2" t="s">
        <v>4707</v>
      </c>
      <c r="F770" s="2">
        <v>1025</v>
      </c>
      <c r="G770" s="2" t="s">
        <v>113</v>
      </c>
      <c r="H770" s="2" t="s">
        <v>757</v>
      </c>
      <c r="I770" s="2" t="s">
        <v>4708</v>
      </c>
      <c r="J770" s="2" t="s">
        <v>4709</v>
      </c>
      <c r="K770" s="2" t="s">
        <v>243</v>
      </c>
      <c r="L770" s="2" t="s">
        <v>3009</v>
      </c>
      <c r="M770" s="2" t="s">
        <v>118</v>
      </c>
      <c r="N770" s="2" t="s">
        <v>119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</row>
    <row r="771" spans="1:17" x14ac:dyDescent="0.25">
      <c r="A771" s="2" t="s">
        <v>877</v>
      </c>
      <c r="B771" s="2" t="s">
        <v>873</v>
      </c>
      <c r="C771" s="2" t="s">
        <v>874</v>
      </c>
      <c r="D771" s="2" t="s">
        <v>8</v>
      </c>
      <c r="E771" s="2" t="s">
        <v>876</v>
      </c>
      <c r="F771" s="2">
        <v>1034</v>
      </c>
      <c r="G771" s="2" t="s">
        <v>158</v>
      </c>
      <c r="H771" s="2" t="s">
        <v>875</v>
      </c>
      <c r="I771" s="2" t="s">
        <v>474</v>
      </c>
      <c r="J771" s="2" t="s">
        <v>2772</v>
      </c>
      <c r="K771" s="2" t="s">
        <v>186</v>
      </c>
      <c r="L771" s="2" t="s">
        <v>3176</v>
      </c>
      <c r="M771" s="2" t="s">
        <v>2706</v>
      </c>
      <c r="N771" s="2" t="s">
        <v>163</v>
      </c>
      <c r="O771" s="2" t="str">
        <f>_xlfn.IFNA(+VLOOKUP(Maestro_Clientes[[#This Row],[Zona]],Tabla1[[#All],[Cruce Reportes]:[ENTREGA ]],2,0),Maestro_Clientes[[#This Row],[Zona]])</f>
        <v>Expreso</v>
      </c>
      <c r="P771" s="2" t="str">
        <f>+VLOOKUP(Maestro_Clientes[[#This Row],[Entrega]],Preparacion!A:B,2,0)</f>
        <v>Expreso</v>
      </c>
      <c r="Q771"/>
    </row>
    <row r="772" spans="1:17" customFormat="1" x14ac:dyDescent="0.25">
      <c r="A772" s="2" t="s">
        <v>3994</v>
      </c>
      <c r="B772" s="2" t="s">
        <v>3995</v>
      </c>
      <c r="C772" s="2" t="s">
        <v>3996</v>
      </c>
      <c r="D772" s="2" t="s">
        <v>8</v>
      </c>
      <c r="E772" s="2" t="s">
        <v>3997</v>
      </c>
      <c r="F772" s="2">
        <v>1001</v>
      </c>
      <c r="G772" s="2" t="s">
        <v>9</v>
      </c>
      <c r="H772" s="2" t="s">
        <v>10</v>
      </c>
      <c r="I772" s="2" t="s">
        <v>10</v>
      </c>
      <c r="J772" s="2" t="s">
        <v>2701</v>
      </c>
      <c r="K772" s="2" t="s">
        <v>12</v>
      </c>
      <c r="L772" s="2" t="s">
        <v>10</v>
      </c>
      <c r="M772" s="2" t="s">
        <v>14</v>
      </c>
      <c r="N772" s="2" t="s">
        <v>15</v>
      </c>
      <c r="O772" s="2" t="str">
        <f>_xlfn.IFNA(+VLOOKUP(Maestro_Clientes[[#This Row],[Zona]],Tabla1[[#All],[Cruce Reportes]:[ENTREGA ]],2,0),Maestro_Clientes[[#This Row],[Zona]])</f>
        <v>MARTES</v>
      </c>
      <c r="P772" s="2" t="str">
        <f>+VLOOKUP(Maestro_Clientes[[#This Row],[Entrega]],Preparacion!A:B,2,0)</f>
        <v>VIERNES</v>
      </c>
    </row>
    <row r="773" spans="1:17" x14ac:dyDescent="0.25">
      <c r="A773" s="2" t="s">
        <v>5102</v>
      </c>
      <c r="B773" s="2" t="s">
        <v>5103</v>
      </c>
      <c r="C773" s="2" t="s">
        <v>5104</v>
      </c>
      <c r="D773" s="2" t="s">
        <v>8</v>
      </c>
      <c r="O773" s="2" t="s">
        <v>3176</v>
      </c>
      <c r="P773" s="2" t="str">
        <f>+VLOOKUP(Maestro_Clientes[[#This Row],[Entrega]],Preparacion!A:B,2,0)</f>
        <v>Expreso</v>
      </c>
      <c r="Q773"/>
    </row>
    <row r="774" spans="1:17" x14ac:dyDescent="0.25">
      <c r="A774" s="2" t="s">
        <v>2276</v>
      </c>
      <c r="B774" s="2" t="s">
        <v>2272</v>
      </c>
      <c r="C774" s="2" t="s">
        <v>2273</v>
      </c>
      <c r="D774" s="2" t="s">
        <v>8</v>
      </c>
      <c r="E774" s="2" t="s">
        <v>2275</v>
      </c>
      <c r="F774" s="2">
        <v>0</v>
      </c>
      <c r="G774" s="2" t="s">
        <v>3176</v>
      </c>
      <c r="H774" s="2" t="s">
        <v>2274</v>
      </c>
      <c r="I774" s="2" t="s">
        <v>522</v>
      </c>
      <c r="J774" s="2" t="s">
        <v>2778</v>
      </c>
      <c r="K774" s="2" t="s">
        <v>281</v>
      </c>
      <c r="L774" s="2" t="s">
        <v>3176</v>
      </c>
      <c r="M774" s="2" t="s">
        <v>2706</v>
      </c>
      <c r="N774" s="2" t="s">
        <v>2706</v>
      </c>
      <c r="O774" s="2" t="s">
        <v>3068</v>
      </c>
      <c r="P774" s="2" t="str">
        <f>+VLOOKUP(Maestro_Clientes[[#This Row],[Entrega]],Preparacion!A:B,2,0)</f>
        <v>VIERNES</v>
      </c>
      <c r="Q774"/>
    </row>
    <row r="775" spans="1:17" customFormat="1" x14ac:dyDescent="0.25">
      <c r="A775" s="2" t="s">
        <v>1370</v>
      </c>
      <c r="B775" s="2" t="s">
        <v>1367</v>
      </c>
      <c r="C775" s="2" t="s">
        <v>1368</v>
      </c>
      <c r="D775" s="2" t="s">
        <v>8</v>
      </c>
      <c r="E775" s="2" t="s">
        <v>1369</v>
      </c>
      <c r="F775" s="2">
        <v>1034</v>
      </c>
      <c r="G775" s="2" t="s">
        <v>158</v>
      </c>
      <c r="H775" s="2" t="s">
        <v>757</v>
      </c>
      <c r="I775" s="2" t="s">
        <v>243</v>
      </c>
      <c r="J775" s="2" t="s">
        <v>2876</v>
      </c>
      <c r="K775" s="2" t="s">
        <v>243</v>
      </c>
      <c r="L775" s="2" t="s">
        <v>3176</v>
      </c>
      <c r="M775" s="2" t="s">
        <v>2706</v>
      </c>
      <c r="N775" s="2" t="s">
        <v>163</v>
      </c>
      <c r="O775" s="2" t="str">
        <f>_xlfn.IFNA(+VLOOKUP(Maestro_Clientes[[#This Row],[Zona]],Tabla1[[#All],[Cruce Reportes]:[ENTREGA ]],2,0),Maestro_Clientes[[#This Row],[Zona]])</f>
        <v>Expreso</v>
      </c>
      <c r="P775" s="2" t="str">
        <f>+VLOOKUP(Maestro_Clientes[[#This Row],[Entrega]],Preparacion!A:B,2,0)</f>
        <v>Expreso</v>
      </c>
    </row>
    <row r="776" spans="1:17" customFormat="1" x14ac:dyDescent="0.25">
      <c r="A776" s="2" t="s">
        <v>1078</v>
      </c>
      <c r="B776" s="2" t="s">
        <v>1073</v>
      </c>
      <c r="C776" s="2" t="s">
        <v>1074</v>
      </c>
      <c r="D776" s="2" t="s">
        <v>8</v>
      </c>
      <c r="E776" s="2" t="s">
        <v>1076</v>
      </c>
      <c r="F776" s="2">
        <v>1001</v>
      </c>
      <c r="G776" s="2" t="s">
        <v>9</v>
      </c>
      <c r="H776" s="2" t="s">
        <v>1075</v>
      </c>
      <c r="I776" s="2" t="s">
        <v>62</v>
      </c>
      <c r="J776" s="2" t="s">
        <v>2711</v>
      </c>
      <c r="K776" s="2" t="s">
        <v>63</v>
      </c>
      <c r="L776" s="2" t="s">
        <v>3023</v>
      </c>
      <c r="M776" s="2" t="s">
        <v>14</v>
      </c>
      <c r="N776" s="2" t="s">
        <v>15</v>
      </c>
      <c r="O776" s="2" t="str">
        <f>_xlfn.IFNA(+VLOOKUP(Maestro_Clientes[[#This Row],[Zona]],Tabla1[[#All],[Cruce Reportes]:[ENTREGA ]],2,0),Maestro_Clientes[[#This Row],[Zona]])</f>
        <v>LUNES</v>
      </c>
      <c r="P776" s="2" t="str">
        <f>+VLOOKUP(Maestro_Clientes[[#This Row],[Entrega]],Preparacion!A:B,2,0)</f>
        <v>JUEVES</v>
      </c>
      <c r="Q776" s="2"/>
    </row>
    <row r="777" spans="1:17" customFormat="1" x14ac:dyDescent="0.25">
      <c r="A777" s="2" t="s">
        <v>2123</v>
      </c>
      <c r="B777" s="2" t="s">
        <v>2119</v>
      </c>
      <c r="C777" s="2" t="s">
        <v>2120</v>
      </c>
      <c r="D777" s="2" t="s">
        <v>8</v>
      </c>
      <c r="E777" s="2" t="s">
        <v>2122</v>
      </c>
      <c r="F777" s="2">
        <v>1028</v>
      </c>
      <c r="G777" s="2" t="s">
        <v>81</v>
      </c>
      <c r="H777" s="2" t="s">
        <v>2121</v>
      </c>
      <c r="I777" s="2" t="s">
        <v>1919</v>
      </c>
      <c r="J777" s="2" t="s">
        <v>2930</v>
      </c>
      <c r="K777" s="2" t="s">
        <v>12</v>
      </c>
      <c r="L777" s="2" t="s">
        <v>3176</v>
      </c>
      <c r="M777" s="2" t="s">
        <v>87</v>
      </c>
      <c r="N777" s="2" t="s">
        <v>88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3789</v>
      </c>
      <c r="B778" s="2" t="s">
        <v>3790</v>
      </c>
      <c r="C778" s="2" t="s">
        <v>3791</v>
      </c>
      <c r="D778" s="2" t="s">
        <v>8</v>
      </c>
      <c r="E778" s="2" t="s">
        <v>3792</v>
      </c>
      <c r="F778" s="2">
        <v>1025</v>
      </c>
      <c r="G778" s="2" t="s">
        <v>113</v>
      </c>
      <c r="H778" s="2" t="s">
        <v>126</v>
      </c>
      <c r="I778" s="2" t="s">
        <v>126</v>
      </c>
      <c r="J778" s="2" t="s">
        <v>3793</v>
      </c>
      <c r="K778" s="2" t="s">
        <v>126</v>
      </c>
      <c r="L778" s="2" t="s">
        <v>3176</v>
      </c>
      <c r="M778" s="2" t="s">
        <v>118</v>
      </c>
      <c r="N778" s="2" t="s">
        <v>119</v>
      </c>
      <c r="O778" s="2" t="str">
        <f>_xlfn.IFNA(+VLOOKUP(Maestro_Clientes[[#This Row],[Zona]],Tabla1[[#All],[Cruce Reportes]:[ENTREGA ]],2,0),Maestro_Clientes[[#This Row],[Zona]])</f>
        <v>Expreso</v>
      </c>
      <c r="P778" s="2" t="str">
        <f>+VLOOKUP(Maestro_Clientes[[#This Row],[Entrega]],Preparacion!A:B,2,0)</f>
        <v>Expreso</v>
      </c>
    </row>
    <row r="779" spans="1:17" customFormat="1" x14ac:dyDescent="0.25">
      <c r="A779" s="2" t="s">
        <v>4689</v>
      </c>
      <c r="B779" s="2" t="s">
        <v>4690</v>
      </c>
      <c r="C779" s="2" t="s">
        <v>4691</v>
      </c>
      <c r="D779" s="2" t="s">
        <v>8</v>
      </c>
      <c r="E779" s="2" t="s">
        <v>4692</v>
      </c>
      <c r="F779" s="2">
        <v>1002</v>
      </c>
      <c r="G779" s="2" t="s">
        <v>34</v>
      </c>
      <c r="H779" s="2" t="s">
        <v>393</v>
      </c>
      <c r="I779" s="2" t="s">
        <v>393</v>
      </c>
      <c r="J779" s="2" t="s">
        <v>2767</v>
      </c>
      <c r="K779" s="2" t="s">
        <v>12</v>
      </c>
      <c r="L779" s="2" t="s">
        <v>3158</v>
      </c>
      <c r="M779" s="2" t="s">
        <v>39</v>
      </c>
      <c r="N779" s="2" t="s">
        <v>40</v>
      </c>
      <c r="O779" s="2" t="s">
        <v>3125</v>
      </c>
      <c r="P779" s="2" t="str">
        <f>+VLOOKUP(Maestro_Clientes[[#This Row],[Entrega]],Preparacion!A:B,2,0)</f>
        <v>MARTES</v>
      </c>
    </row>
    <row r="780" spans="1:17" customFormat="1" x14ac:dyDescent="0.25">
      <c r="A780" s="2" t="s">
        <v>4478</v>
      </c>
      <c r="B780" s="2" t="s">
        <v>4479</v>
      </c>
      <c r="C780" s="2" t="s">
        <v>4480</v>
      </c>
      <c r="D780" s="2" t="s">
        <v>8</v>
      </c>
      <c r="E780" s="2" t="s">
        <v>4481</v>
      </c>
      <c r="F780" s="2">
        <v>1025</v>
      </c>
      <c r="G780" s="2" t="s">
        <v>113</v>
      </c>
      <c r="H780" s="2" t="s">
        <v>1075</v>
      </c>
      <c r="I780" s="2" t="s">
        <v>62</v>
      </c>
      <c r="J780" s="2" t="s">
        <v>2711</v>
      </c>
      <c r="K780" s="2" t="s">
        <v>63</v>
      </c>
      <c r="L780" s="2" t="s">
        <v>3023</v>
      </c>
      <c r="M780" s="2" t="s">
        <v>118</v>
      </c>
      <c r="N780" s="2" t="s">
        <v>119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941</v>
      </c>
      <c r="B781" s="2" t="s">
        <v>937</v>
      </c>
      <c r="C781" s="2" t="s">
        <v>938</v>
      </c>
      <c r="D781" s="2" t="s">
        <v>8</v>
      </c>
      <c r="E781" s="2" t="s">
        <v>939</v>
      </c>
      <c r="F781" s="2">
        <v>1014</v>
      </c>
      <c r="G781" s="2" t="s">
        <v>59</v>
      </c>
      <c r="H781" s="2" t="s">
        <v>622</v>
      </c>
      <c r="I781" s="2" t="s">
        <v>622</v>
      </c>
      <c r="J781" s="2" t="s">
        <v>2793</v>
      </c>
      <c r="K781" s="2" t="s">
        <v>12</v>
      </c>
      <c r="L781" s="2" t="s">
        <v>3023</v>
      </c>
      <c r="M781" s="2" t="s">
        <v>2706</v>
      </c>
      <c r="N781" s="2" t="s">
        <v>66</v>
      </c>
      <c r="O781" s="2" t="str">
        <f>_xlfn.IFNA(+VLOOKUP(Maestro_Clientes[[#This Row],[Zona]],Tabla1[[#All],[Cruce Reportes]:[ENTREGA ]],2,0),Maestro_Clientes[[#This Row],[Zona]])</f>
        <v>LUNES</v>
      </c>
      <c r="P781" s="2" t="str">
        <f>+VLOOKUP(Maestro_Clientes[[#This Row],[Entrega]],Preparacion!A:B,2,0)</f>
        <v>JUEVES</v>
      </c>
      <c r="Q781" s="2"/>
    </row>
    <row r="782" spans="1:17" customFormat="1" x14ac:dyDescent="0.25">
      <c r="A782" s="2" t="s">
        <v>3813</v>
      </c>
      <c r="B782" s="2" t="s">
        <v>3814</v>
      </c>
      <c r="C782" s="2" t="s">
        <v>3815</v>
      </c>
      <c r="D782" s="2" t="s">
        <v>8</v>
      </c>
      <c r="E782" s="2" t="s">
        <v>3816</v>
      </c>
      <c r="F782" s="2">
        <v>1001</v>
      </c>
      <c r="G782" s="2" t="s">
        <v>9</v>
      </c>
      <c r="H782" s="2" t="s">
        <v>1446</v>
      </c>
      <c r="I782" s="2" t="s">
        <v>3817</v>
      </c>
      <c r="J782" s="2" t="s">
        <v>3818</v>
      </c>
      <c r="K782" s="2" t="s">
        <v>220</v>
      </c>
      <c r="L782" s="2" t="s">
        <v>3176</v>
      </c>
      <c r="M782" s="2" t="s">
        <v>14</v>
      </c>
      <c r="N782" s="2" t="s">
        <v>15</v>
      </c>
      <c r="O782" s="2" t="s">
        <v>3125</v>
      </c>
      <c r="P782" s="2" t="str">
        <f>+VLOOKUP(Maestro_Clientes[[#This Row],[Entrega]],Preparacion!A:B,2,0)</f>
        <v>MARTES</v>
      </c>
    </row>
    <row r="783" spans="1:17" x14ac:dyDescent="0.25">
      <c r="A783" s="2" t="s">
        <v>5146</v>
      </c>
      <c r="B783" s="2" t="s">
        <v>5145</v>
      </c>
      <c r="C783" s="2" t="s">
        <v>5147</v>
      </c>
      <c r="D783" s="2" t="s">
        <v>8</v>
      </c>
      <c r="O783" s="2" t="s">
        <v>3023</v>
      </c>
      <c r="P783" s="2" t="str">
        <f>+VLOOKUP(Maestro_Clientes[[#This Row],[Entrega]],Preparacion!A:B,2,0)</f>
        <v>JUEVES</v>
      </c>
    </row>
    <row r="784" spans="1:17" customFormat="1" x14ac:dyDescent="0.25">
      <c r="A784" s="2" t="s">
        <v>3313</v>
      </c>
      <c r="B784" s="2" t="s">
        <v>996</v>
      </c>
      <c r="C784" s="2" t="s">
        <v>997</v>
      </c>
      <c r="D784" s="2" t="s">
        <v>8</v>
      </c>
      <c r="E784" s="2" t="s">
        <v>3314</v>
      </c>
      <c r="F784" s="2">
        <v>1028</v>
      </c>
      <c r="G784" s="2" t="s">
        <v>81</v>
      </c>
      <c r="H784" s="2" t="s">
        <v>2706</v>
      </c>
      <c r="I784" s="2" t="s">
        <v>3315</v>
      </c>
      <c r="J784" s="2" t="s">
        <v>2762</v>
      </c>
      <c r="K784" s="2" t="s">
        <v>12</v>
      </c>
      <c r="L784" s="2" t="s">
        <v>3176</v>
      </c>
      <c r="M784" s="2" t="s">
        <v>87</v>
      </c>
      <c r="N784" s="2" t="s">
        <v>88</v>
      </c>
      <c r="O784" s="2" t="str">
        <f>_xlfn.IFNA(+VLOOKUP(Maestro_Clientes[[#This Row],[Zona]],Tabla1[[#All],[Cruce Reportes]:[ENTREGA ]],2,0),Maestro_Clientes[[#This Row],[Zona]])</f>
        <v>Expreso</v>
      </c>
      <c r="P784" s="2" t="str">
        <f>+VLOOKUP(Maestro_Clientes[[#This Row],[Entrega]],Preparacion!A:B,2,0)</f>
        <v>Expreso</v>
      </c>
    </row>
    <row r="785" spans="1:17" customFormat="1" x14ac:dyDescent="0.25">
      <c r="A785" s="2" t="s">
        <v>1120</v>
      </c>
      <c r="B785" s="2" t="s">
        <v>996</v>
      </c>
      <c r="C785" s="2" t="s">
        <v>997</v>
      </c>
      <c r="D785" s="2" t="s">
        <v>24</v>
      </c>
      <c r="E785" s="2" t="s">
        <v>1118</v>
      </c>
      <c r="F785" s="2">
        <v>1002</v>
      </c>
      <c r="G785" s="2" t="s">
        <v>34</v>
      </c>
      <c r="H785" s="2" t="s">
        <v>1117</v>
      </c>
      <c r="I785" s="2" t="s">
        <v>1119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999</v>
      </c>
      <c r="B786" s="2" t="s">
        <v>996</v>
      </c>
      <c r="C786" s="2" t="s">
        <v>997</v>
      </c>
      <c r="D786" s="2" t="s">
        <v>8</v>
      </c>
      <c r="E786" s="2" t="s">
        <v>998</v>
      </c>
      <c r="F786" s="2">
        <v>1002</v>
      </c>
      <c r="G786" s="2" t="s">
        <v>34</v>
      </c>
      <c r="H786" s="2" t="s">
        <v>345</v>
      </c>
      <c r="I786" s="2" t="s">
        <v>345</v>
      </c>
      <c r="J786" s="2" t="s">
        <v>2756</v>
      </c>
      <c r="K786" s="2" t="s">
        <v>12</v>
      </c>
      <c r="L786" s="2" t="s">
        <v>346</v>
      </c>
      <c r="M786" s="2" t="s">
        <v>39</v>
      </c>
      <c r="N786" s="2" t="s">
        <v>40</v>
      </c>
      <c r="O786" s="2" t="str">
        <f>_xlfn.IFNA(+VLOOKUP(Maestro_Clientes[[#This Row],[Zona]],Tabla1[[#All],[Cruce Reportes]:[ENTREGA ]],2,0),Maestro_Clientes[[#This Row],[Zona]])</f>
        <v>LUNES</v>
      </c>
      <c r="P786" s="2" t="str">
        <f>+VLOOKUP(Maestro_Clientes[[#This Row],[Entrega]],Preparacion!A:B,2,0)</f>
        <v>JUEVES</v>
      </c>
      <c r="Q786" s="2"/>
    </row>
    <row r="787" spans="1:17" customFormat="1" x14ac:dyDescent="0.25">
      <c r="A787" s="2" t="s">
        <v>1892</v>
      </c>
      <c r="B787" s="2" t="s">
        <v>1889</v>
      </c>
      <c r="C787" s="2" t="s">
        <v>1890</v>
      </c>
      <c r="D787" s="2" t="s">
        <v>8</v>
      </c>
      <c r="E787" s="2" t="s">
        <v>1891</v>
      </c>
      <c r="F787" s="2">
        <v>1014</v>
      </c>
      <c r="G787" s="2" t="s">
        <v>59</v>
      </c>
      <c r="H787" s="2" t="s">
        <v>1365</v>
      </c>
      <c r="I787" s="2" t="s">
        <v>1365</v>
      </c>
      <c r="J787" s="2" t="s">
        <v>2875</v>
      </c>
      <c r="K787" s="2" t="s">
        <v>12</v>
      </c>
      <c r="L787" s="2" t="s">
        <v>3176</v>
      </c>
      <c r="M787" s="2" t="s">
        <v>2706</v>
      </c>
      <c r="N787" s="2" t="s">
        <v>66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800</v>
      </c>
      <c r="B788" s="2" t="s">
        <v>797</v>
      </c>
      <c r="C788" s="2" t="s">
        <v>798</v>
      </c>
      <c r="D788" s="2" t="s">
        <v>24</v>
      </c>
      <c r="E788" s="2" t="s">
        <v>799</v>
      </c>
      <c r="F788" s="2">
        <v>0</v>
      </c>
      <c r="G788" s="2" t="s">
        <v>3176</v>
      </c>
      <c r="H788" s="2" t="s">
        <v>173</v>
      </c>
      <c r="I788" s="2" t="s">
        <v>209</v>
      </c>
      <c r="J788" s="2" t="s">
        <v>2733</v>
      </c>
      <c r="K788" s="2" t="s">
        <v>12</v>
      </c>
      <c r="L788" s="2" t="s">
        <v>3176</v>
      </c>
      <c r="M788" s="2" t="s">
        <v>2706</v>
      </c>
      <c r="N788" s="2" t="s">
        <v>2706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2295</v>
      </c>
      <c r="B789" s="2" t="s">
        <v>2290</v>
      </c>
      <c r="C789" s="2" t="s">
        <v>2291</v>
      </c>
      <c r="D789" s="2" t="s">
        <v>8</v>
      </c>
      <c r="E789" s="2" t="s">
        <v>2293</v>
      </c>
      <c r="F789" s="2">
        <v>1014</v>
      </c>
      <c r="G789" s="2" t="s">
        <v>59</v>
      </c>
      <c r="H789" s="2" t="s">
        <v>2292</v>
      </c>
      <c r="I789" s="2" t="s">
        <v>2294</v>
      </c>
      <c r="J789" s="2" t="s">
        <v>2962</v>
      </c>
      <c r="K789" s="2" t="s">
        <v>12</v>
      </c>
      <c r="L789" s="2" t="s">
        <v>3176</v>
      </c>
      <c r="M789" s="2" t="s">
        <v>2706</v>
      </c>
      <c r="N789" s="2" t="s">
        <v>66</v>
      </c>
      <c r="O789" s="2" t="str">
        <f>_xlfn.IFNA(+VLOOKUP(Maestro_Clientes[[#This Row],[Zona]],Tabla1[[#All],[Cruce Reportes]:[ENTREGA ]],2,0),Maestro_Clientes[[#This Row],[Zona]])</f>
        <v>Expreso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5028</v>
      </c>
      <c r="B790" s="2" t="s">
        <v>5027</v>
      </c>
      <c r="C790" s="2" t="s">
        <v>5026</v>
      </c>
      <c r="D790" s="2" t="s">
        <v>8</v>
      </c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 t="s">
        <v>3176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3825</v>
      </c>
      <c r="B791" s="2" t="s">
        <v>3820</v>
      </c>
      <c r="C791" s="2" t="s">
        <v>3821</v>
      </c>
      <c r="D791" s="2" t="s">
        <v>8</v>
      </c>
      <c r="E791" s="2" t="s">
        <v>3826</v>
      </c>
      <c r="F791" s="2">
        <v>1002</v>
      </c>
      <c r="G791" s="2" t="s">
        <v>34</v>
      </c>
      <c r="H791" s="2" t="s">
        <v>3827</v>
      </c>
      <c r="I791" s="2" t="s">
        <v>3828</v>
      </c>
      <c r="J791" s="2" t="s">
        <v>3829</v>
      </c>
      <c r="K791" s="2" t="s">
        <v>281</v>
      </c>
      <c r="L791" s="2" t="s">
        <v>3176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customFormat="1" x14ac:dyDescent="0.25">
      <c r="A792" s="2" t="s">
        <v>4718</v>
      </c>
      <c r="B792" s="2" t="s">
        <v>3820</v>
      </c>
      <c r="C792" s="2" t="s">
        <v>3821</v>
      </c>
      <c r="D792" s="2" t="s">
        <v>8</v>
      </c>
      <c r="E792" s="2" t="s">
        <v>4719</v>
      </c>
      <c r="F792" s="2">
        <v>1002</v>
      </c>
      <c r="G792" s="2" t="s">
        <v>34</v>
      </c>
      <c r="H792" s="2" t="s">
        <v>2318</v>
      </c>
      <c r="I792" s="2" t="s">
        <v>547</v>
      </c>
      <c r="J792" s="2" t="s">
        <v>2784</v>
      </c>
      <c r="K792" s="2" t="s">
        <v>310</v>
      </c>
      <c r="L792" s="2" t="s">
        <v>3009</v>
      </c>
      <c r="M792" s="2" t="s">
        <v>39</v>
      </c>
      <c r="N792" s="2" t="s">
        <v>40</v>
      </c>
      <c r="O792" s="2" t="str">
        <f>_xlfn.IFNA(+VLOOKUP(Maestro_Clientes[[#This Row],[Zona]],Tabla1[[#All],[Cruce Reportes]:[ENTREGA ]],2,0),Maestro_Clientes[[#This Row],[Zona]])</f>
        <v>EXPRESO</v>
      </c>
      <c r="P792" s="2" t="str">
        <f>+VLOOKUP(Maestro_Clientes[[#This Row],[Entrega]],Preparacion!A:B,2,0)</f>
        <v>Expreso</v>
      </c>
    </row>
    <row r="793" spans="1:17" x14ac:dyDescent="0.25">
      <c r="A793" s="2" t="s">
        <v>3819</v>
      </c>
      <c r="B793" s="2" t="s">
        <v>3820</v>
      </c>
      <c r="C793" s="2" t="s">
        <v>3821</v>
      </c>
      <c r="D793" s="2" t="s">
        <v>8</v>
      </c>
      <c r="E793" s="2" t="s">
        <v>3822</v>
      </c>
      <c r="F793" s="2">
        <v>1002</v>
      </c>
      <c r="G793" s="2" t="s">
        <v>34</v>
      </c>
      <c r="H793" s="2" t="s">
        <v>3823</v>
      </c>
      <c r="I793" s="2" t="s">
        <v>3824</v>
      </c>
      <c r="J793" s="2" t="s">
        <v>2918</v>
      </c>
      <c r="K793" s="2" t="s">
        <v>281</v>
      </c>
      <c r="L793" s="2" t="s">
        <v>3176</v>
      </c>
      <c r="M793" s="2" t="s">
        <v>39</v>
      </c>
      <c r="N793" s="2" t="s">
        <v>40</v>
      </c>
      <c r="O793" s="2" t="s">
        <v>3125</v>
      </c>
      <c r="P793" s="2" t="str">
        <f>+VLOOKUP(Maestro_Clientes[[#This Row],[Entrega]],Preparacion!A:B,2,0)</f>
        <v>MARTES</v>
      </c>
      <c r="Q793"/>
    </row>
    <row r="794" spans="1:17" customFormat="1" x14ac:dyDescent="0.25">
      <c r="A794" s="2" t="s">
        <v>471</v>
      </c>
      <c r="B794" s="2" t="s">
        <v>468</v>
      </c>
      <c r="C794" s="2" t="s">
        <v>469</v>
      </c>
      <c r="D794" s="2" t="s">
        <v>8</v>
      </c>
      <c r="E794" s="2" t="s">
        <v>470</v>
      </c>
      <c r="F794" s="2">
        <v>1002</v>
      </c>
      <c r="G794" s="2" t="s">
        <v>34</v>
      </c>
      <c r="H794" s="2" t="s">
        <v>144</v>
      </c>
      <c r="I794" s="2" t="s">
        <v>175</v>
      </c>
      <c r="J794" s="2" t="s">
        <v>2728</v>
      </c>
      <c r="K794" s="2" t="s">
        <v>147</v>
      </c>
      <c r="L794" s="2" t="s">
        <v>3176</v>
      </c>
      <c r="M794" s="2" t="s">
        <v>39</v>
      </c>
      <c r="N794" s="2" t="s">
        <v>40</v>
      </c>
      <c r="O794" s="2" t="str">
        <f>_xlfn.IFNA(+VLOOKUP(Maestro_Clientes[[#This Row],[Zona]],Tabla1[[#All],[Cruce Reportes]:[ENTREGA ]],2,0),Maestro_Clientes[[#This Row],[Zona]])</f>
        <v>Expreso</v>
      </c>
      <c r="P794" s="2" t="str">
        <f>+VLOOKUP(Maestro_Clientes[[#This Row],[Entrega]],Preparacion!A:B,2,0)</f>
        <v>Expreso</v>
      </c>
    </row>
    <row r="795" spans="1:17" customFormat="1" x14ac:dyDescent="0.25">
      <c r="A795" s="2" t="s">
        <v>1720</v>
      </c>
      <c r="B795" s="2" t="s">
        <v>1717</v>
      </c>
      <c r="C795" s="2" t="s">
        <v>1718</v>
      </c>
      <c r="D795" s="2" t="s">
        <v>8</v>
      </c>
      <c r="E795" s="2" t="s">
        <v>1719</v>
      </c>
      <c r="F795" s="2">
        <v>1025</v>
      </c>
      <c r="G795" s="2" t="s">
        <v>113</v>
      </c>
      <c r="H795" s="2" t="s">
        <v>85</v>
      </c>
      <c r="I795" s="2" t="s">
        <v>85</v>
      </c>
      <c r="J795" s="2" t="s">
        <v>2910</v>
      </c>
      <c r="K795" s="2" t="s">
        <v>12</v>
      </c>
      <c r="L795" s="2" t="s">
        <v>85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LUNES</v>
      </c>
      <c r="P795" s="2" t="str">
        <f>+VLOOKUP(Maestro_Clientes[[#This Row],[Entrega]],Preparacion!A:B,2,0)</f>
        <v>JUEVES</v>
      </c>
      <c r="Q795" s="2"/>
    </row>
    <row r="796" spans="1:17" customFormat="1" x14ac:dyDescent="0.25">
      <c r="A796" s="2" t="s">
        <v>2061</v>
      </c>
      <c r="B796" s="2" t="s">
        <v>2057</v>
      </c>
      <c r="C796" s="2" t="s">
        <v>2058</v>
      </c>
      <c r="D796" s="2" t="s">
        <v>8</v>
      </c>
      <c r="E796" s="2" t="s">
        <v>2060</v>
      </c>
      <c r="F796" s="2">
        <v>1025</v>
      </c>
      <c r="G796" s="2" t="s">
        <v>113</v>
      </c>
      <c r="H796" s="2" t="s">
        <v>2059</v>
      </c>
      <c r="I796" s="2" t="s">
        <v>474</v>
      </c>
      <c r="J796" s="2" t="s">
        <v>2772</v>
      </c>
      <c r="K796" s="2" t="s">
        <v>186</v>
      </c>
      <c r="L796" s="2" t="s">
        <v>3176</v>
      </c>
      <c r="M796" s="2" t="s">
        <v>118</v>
      </c>
      <c r="N796" s="2" t="s">
        <v>119</v>
      </c>
      <c r="O796" s="2" t="str">
        <f>_xlfn.IFNA(+VLOOKUP(Maestro_Clientes[[#This Row],[Zona]],Tabla1[[#All],[Cruce Reportes]:[ENTREGA ]],2,0),Maestro_Clientes[[#This Row],[Zona]])</f>
        <v>Expreso</v>
      </c>
      <c r="P796" s="2" t="str">
        <f>+VLOOKUP(Maestro_Clientes[[#This Row],[Entrega]],Preparacion!A:B,2,0)</f>
        <v>Expreso</v>
      </c>
    </row>
    <row r="797" spans="1:17" customFormat="1" x14ac:dyDescent="0.25">
      <c r="A797" s="2" t="s">
        <v>331</v>
      </c>
      <c r="B797" s="2" t="s">
        <v>327</v>
      </c>
      <c r="C797" s="2" t="s">
        <v>328</v>
      </c>
      <c r="D797" s="2" t="s">
        <v>8</v>
      </c>
      <c r="E797" s="2" t="s">
        <v>330</v>
      </c>
      <c r="F797" s="2">
        <v>1001</v>
      </c>
      <c r="G797" s="2" t="s">
        <v>9</v>
      </c>
      <c r="H797" s="2" t="s">
        <v>329</v>
      </c>
      <c r="I797" s="2" t="s">
        <v>329</v>
      </c>
      <c r="J797" s="2" t="s">
        <v>2754</v>
      </c>
      <c r="K797" s="2" t="s">
        <v>12</v>
      </c>
      <c r="L797" s="2" t="s">
        <v>329</v>
      </c>
      <c r="M797" s="2" t="s">
        <v>14</v>
      </c>
      <c r="N797" s="2" t="s">
        <v>15</v>
      </c>
      <c r="O797" s="2" t="str">
        <f>_xlfn.IFNA(+VLOOKUP(Maestro_Clientes[[#This Row],[Zona]],Tabla1[[#All],[Cruce Reportes]:[ENTREGA ]],2,0),Maestro_Clientes[[#This Row],[Zona]])</f>
        <v>MIERCOLES</v>
      </c>
      <c r="P797" s="2" t="str">
        <f>+VLOOKUP(Maestro_Clientes[[#This Row],[Entrega]],Preparacion!A:B,2,0)</f>
        <v>LUNES</v>
      </c>
    </row>
    <row r="798" spans="1:17" customFormat="1" x14ac:dyDescent="0.25">
      <c r="A798" s="2" t="s">
        <v>4710</v>
      </c>
      <c r="B798" s="2" t="s">
        <v>4711</v>
      </c>
      <c r="C798" s="2" t="s">
        <v>4712</v>
      </c>
      <c r="D798" s="2" t="s">
        <v>8</v>
      </c>
      <c r="E798" s="2" t="s">
        <v>4713</v>
      </c>
      <c r="F798" s="2">
        <v>1028</v>
      </c>
      <c r="G798" s="2" t="s">
        <v>81</v>
      </c>
      <c r="H798" s="2" t="s">
        <v>2078</v>
      </c>
      <c r="I798" s="2" t="s">
        <v>2080</v>
      </c>
      <c r="J798" s="2" t="s">
        <v>2944</v>
      </c>
      <c r="K798" s="2" t="s">
        <v>2080</v>
      </c>
      <c r="L798" s="2" t="s">
        <v>3009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customFormat="1" x14ac:dyDescent="0.25">
      <c r="A799" s="2" t="s">
        <v>5101</v>
      </c>
      <c r="B799" s="2" t="s">
        <v>3830</v>
      </c>
      <c r="C799" s="2" t="s">
        <v>3831</v>
      </c>
      <c r="D799" s="2" t="s">
        <v>8</v>
      </c>
      <c r="E799" s="2" t="s">
        <v>3832</v>
      </c>
      <c r="F799" s="2">
        <v>1028</v>
      </c>
      <c r="G799" s="2" t="s">
        <v>81</v>
      </c>
      <c r="H799" s="2" t="s">
        <v>3833</v>
      </c>
      <c r="I799" s="2" t="s">
        <v>697</v>
      </c>
      <c r="J799" s="2" t="s">
        <v>2800</v>
      </c>
      <c r="K799" s="2" t="s">
        <v>518</v>
      </c>
      <c r="L799" s="2" t="s">
        <v>3176</v>
      </c>
      <c r="M799" s="2" t="s">
        <v>87</v>
      </c>
      <c r="N799" s="2" t="s">
        <v>88</v>
      </c>
      <c r="O799" s="2" t="str">
        <f>_xlfn.IFNA(+VLOOKUP(Maestro_Clientes[[#This Row],[Zona]],Tabla1[[#All],[Cruce Reportes]:[ENTREGA ]],2,0),Maestro_Clientes[[#This Row],[Zona]])</f>
        <v>Expreso</v>
      </c>
      <c r="P799" s="2" t="str">
        <f>+VLOOKUP(Maestro_Clientes[[#This Row],[Entrega]],Preparacion!A:B,2,0)</f>
        <v>Expreso</v>
      </c>
    </row>
    <row r="800" spans="1:17" x14ac:dyDescent="0.25">
      <c r="A800" s="2" t="s">
        <v>4463</v>
      </c>
      <c r="B800" s="2" t="s">
        <v>4464</v>
      </c>
      <c r="C800" s="2" t="s">
        <v>4465</v>
      </c>
      <c r="D800" s="2" t="s">
        <v>8</v>
      </c>
      <c r="E800" s="2" t="s">
        <v>4466</v>
      </c>
      <c r="F800" s="2">
        <v>1025</v>
      </c>
      <c r="G800" s="2" t="s">
        <v>113</v>
      </c>
      <c r="H800" s="2" t="s">
        <v>1075</v>
      </c>
      <c r="I800" s="2" t="s">
        <v>63</v>
      </c>
      <c r="J800" s="2" t="s">
        <v>3425</v>
      </c>
      <c r="K800" s="2" t="s">
        <v>63</v>
      </c>
      <c r="L800" s="2" t="s">
        <v>3023</v>
      </c>
      <c r="M800" s="2" t="s">
        <v>118</v>
      </c>
      <c r="N800" s="2" t="s">
        <v>119</v>
      </c>
      <c r="O800" s="2" t="str">
        <f>_xlfn.IFNA(+VLOOKUP(Maestro_Clientes[[#This Row],[Zona]],Tabla1[[#All],[Cruce Reportes]:[ENTREGA ]],2,0),Maestro_Clientes[[#This Row],[Zona]])</f>
        <v>LUNES</v>
      </c>
      <c r="P800" s="2" t="str">
        <f>+VLOOKUP(Maestro_Clientes[[#This Row],[Entrega]],Preparacion!A:B,2,0)</f>
        <v>JUEVES</v>
      </c>
    </row>
    <row r="801" spans="1:17" customFormat="1" x14ac:dyDescent="0.25">
      <c r="A801" s="2" t="s">
        <v>232</v>
      </c>
      <c r="B801" s="2" t="s">
        <v>227</v>
      </c>
      <c r="C801" s="2" t="s">
        <v>228</v>
      </c>
      <c r="D801" s="2" t="s">
        <v>8</v>
      </c>
      <c r="E801" s="2" t="s">
        <v>230</v>
      </c>
      <c r="F801" s="2">
        <v>1034</v>
      </c>
      <c r="G801" s="2" t="s">
        <v>158</v>
      </c>
      <c r="H801" s="2" t="s">
        <v>229</v>
      </c>
      <c r="I801" s="2" t="s">
        <v>231</v>
      </c>
      <c r="J801" s="2" t="s">
        <v>2737</v>
      </c>
      <c r="K801" s="2" t="s">
        <v>126</v>
      </c>
      <c r="L801" s="2" t="s">
        <v>3176</v>
      </c>
      <c r="M801" s="2" t="s">
        <v>2706</v>
      </c>
      <c r="N801" s="2" t="s">
        <v>163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2320</v>
      </c>
      <c r="B802" s="2" t="s">
        <v>2316</v>
      </c>
      <c r="C802" s="2" t="s">
        <v>2317</v>
      </c>
      <c r="D802" s="2" t="s">
        <v>8</v>
      </c>
      <c r="E802" s="2" t="s">
        <v>2319</v>
      </c>
      <c r="F802" s="2">
        <v>1014</v>
      </c>
      <c r="G802" s="2" t="s">
        <v>59</v>
      </c>
      <c r="H802" s="2" t="s">
        <v>2318</v>
      </c>
      <c r="I802" s="2" t="s">
        <v>547</v>
      </c>
      <c r="J802" s="2" t="s">
        <v>2784</v>
      </c>
      <c r="K802" s="2" t="s">
        <v>310</v>
      </c>
      <c r="L802" s="2" t="s">
        <v>3176</v>
      </c>
      <c r="M802" s="2" t="s">
        <v>2706</v>
      </c>
      <c r="N802" s="2" t="s">
        <v>66</v>
      </c>
      <c r="O802" s="2" t="str">
        <f>_xlfn.IFNA(+VLOOKUP(Maestro_Clientes[[#This Row],[Zona]],Tabla1[[#All],[Cruce Reportes]:[ENTREGA ]],2,0),Maestro_Clientes[[#This Row],[Zona]])</f>
        <v>Expreso</v>
      </c>
      <c r="P802" s="2" t="str">
        <f>+VLOOKUP(Maestro_Clientes[[#This Row],[Entrega]],Preparacion!A:B,2,0)</f>
        <v>Expreso</v>
      </c>
    </row>
    <row r="803" spans="1:17" customFormat="1" x14ac:dyDescent="0.25">
      <c r="A803" s="2" t="s">
        <v>3998</v>
      </c>
      <c r="B803" s="2" t="s">
        <v>3999</v>
      </c>
      <c r="C803" s="2" t="s">
        <v>4000</v>
      </c>
      <c r="D803" s="2" t="s">
        <v>8</v>
      </c>
      <c r="E803" s="2" t="s">
        <v>4001</v>
      </c>
      <c r="F803" s="2">
        <v>1001</v>
      </c>
      <c r="G803" s="2" t="s">
        <v>9</v>
      </c>
      <c r="H803" s="2" t="s">
        <v>2689</v>
      </c>
      <c r="I803" s="2" t="s">
        <v>2689</v>
      </c>
      <c r="J803" s="2" t="s">
        <v>4002</v>
      </c>
      <c r="K803" s="2" t="s">
        <v>12</v>
      </c>
      <c r="L803" s="2" t="s">
        <v>10</v>
      </c>
      <c r="M803" s="2" t="s">
        <v>14</v>
      </c>
      <c r="N803" s="2" t="s">
        <v>15</v>
      </c>
      <c r="O803" s="2" t="str">
        <f>_xlfn.IFNA(+VLOOKUP(Maestro_Clientes[[#This Row],[Zona]],Tabla1[[#All],[Cruce Reportes]:[ENTREGA ]],2,0),Maestro_Clientes[[#This Row],[Zona]])</f>
        <v>MARTES</v>
      </c>
      <c r="P803" s="2" t="str">
        <f>+VLOOKUP(Maestro_Clientes[[#This Row],[Entrega]],Preparacion!A:B,2,0)</f>
        <v>VIERNES</v>
      </c>
    </row>
    <row r="804" spans="1:17" customFormat="1" x14ac:dyDescent="0.25">
      <c r="A804" s="2" t="s">
        <v>2091</v>
      </c>
      <c r="B804" s="2" t="s">
        <v>2088</v>
      </c>
      <c r="C804" s="2" t="s">
        <v>2089</v>
      </c>
      <c r="D804" s="2" t="s">
        <v>8</v>
      </c>
      <c r="E804" s="2" t="s">
        <v>2090</v>
      </c>
      <c r="F804" s="2">
        <v>1034</v>
      </c>
      <c r="G804" s="2" t="s">
        <v>158</v>
      </c>
      <c r="H804" s="2" t="s">
        <v>1075</v>
      </c>
      <c r="I804" s="2" t="s">
        <v>63</v>
      </c>
      <c r="J804" s="2" t="s">
        <v>2711</v>
      </c>
      <c r="K804" s="2" t="s">
        <v>63</v>
      </c>
      <c r="L804" s="2" t="s">
        <v>3023</v>
      </c>
      <c r="M804" s="2" t="s">
        <v>2706</v>
      </c>
      <c r="N804" s="2" t="s">
        <v>163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customFormat="1" x14ac:dyDescent="0.25">
      <c r="A805" s="2" t="s">
        <v>1503</v>
      </c>
      <c r="B805" s="2" t="s">
        <v>1500</v>
      </c>
      <c r="C805" s="2" t="s">
        <v>1501</v>
      </c>
      <c r="D805" s="2" t="s">
        <v>8</v>
      </c>
      <c r="E805" s="2" t="s">
        <v>1502</v>
      </c>
      <c r="F805" s="2">
        <v>1014</v>
      </c>
      <c r="G805" s="2" t="s">
        <v>59</v>
      </c>
      <c r="H805" s="2" t="s">
        <v>75</v>
      </c>
      <c r="I805" s="2" t="s">
        <v>75</v>
      </c>
      <c r="J805" s="2" t="s">
        <v>2712</v>
      </c>
      <c r="K805" s="2" t="s">
        <v>12</v>
      </c>
      <c r="L805" s="2" t="s">
        <v>77</v>
      </c>
      <c r="M805" s="2" t="s">
        <v>2706</v>
      </c>
      <c r="N805" s="2" t="s">
        <v>66</v>
      </c>
      <c r="O805" s="2" t="str">
        <f>_xlfn.IFNA(+VLOOKUP(Maestro_Clientes[[#This Row],[Zona]],Tabla1[[#All],[Cruce Reportes]:[ENTREGA ]],2,0),Maestro_Clientes[[#This Row],[Zona]])</f>
        <v>LUNES</v>
      </c>
      <c r="P805" s="2" t="str">
        <f>+VLOOKUP(Maestro_Clientes[[#This Row],[Entrega]],Preparacion!A:B,2,0)</f>
        <v>JUEVES</v>
      </c>
      <c r="Q805" s="2"/>
    </row>
    <row r="806" spans="1:17" x14ac:dyDescent="0.25">
      <c r="A806" s="2" t="s">
        <v>434</v>
      </c>
      <c r="B806" s="2" t="s">
        <v>431</v>
      </c>
      <c r="C806" s="2" t="s">
        <v>432</v>
      </c>
      <c r="D806" s="2" t="s">
        <v>8</v>
      </c>
      <c r="E806" s="2" t="s">
        <v>433</v>
      </c>
      <c r="F806" s="2">
        <v>1001</v>
      </c>
      <c r="G806" s="2" t="s">
        <v>9</v>
      </c>
      <c r="H806" s="2" t="s">
        <v>404</v>
      </c>
      <c r="I806" s="2" t="s">
        <v>404</v>
      </c>
      <c r="J806" s="2" t="s">
        <v>2765</v>
      </c>
      <c r="K806" s="2" t="s">
        <v>12</v>
      </c>
      <c r="L806" s="2" t="s">
        <v>404</v>
      </c>
      <c r="M806" s="2" t="s">
        <v>14</v>
      </c>
      <c r="N806" s="2" t="s">
        <v>15</v>
      </c>
      <c r="O806" s="2" t="s">
        <v>3158</v>
      </c>
      <c r="P806" s="2" t="str">
        <f>+VLOOKUP(Maestro_Clientes[[#This Row],[Entrega]],Preparacion!A:B,2,0)</f>
        <v>MIERCOLES</v>
      </c>
      <c r="Q806"/>
    </row>
    <row r="807" spans="1:17" customFormat="1" x14ac:dyDescent="0.25">
      <c r="A807" s="2" t="s">
        <v>3966</v>
      </c>
      <c r="B807" s="2" t="s">
        <v>3967</v>
      </c>
      <c r="C807" s="2" t="s">
        <v>3968</v>
      </c>
      <c r="D807" s="2" t="s">
        <v>8</v>
      </c>
      <c r="E807" s="2" t="s">
        <v>3969</v>
      </c>
      <c r="F807" s="2">
        <v>1001</v>
      </c>
      <c r="G807" s="2" t="s">
        <v>9</v>
      </c>
      <c r="H807" s="2" t="s">
        <v>324</v>
      </c>
      <c r="I807" s="2" t="s">
        <v>324</v>
      </c>
      <c r="J807" s="2" t="s">
        <v>2753</v>
      </c>
      <c r="K807" s="2" t="s">
        <v>12</v>
      </c>
      <c r="L807" s="2" t="s">
        <v>324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4153</v>
      </c>
      <c r="B808" s="2" t="s">
        <v>3967</v>
      </c>
      <c r="C808" s="2" t="s">
        <v>3968</v>
      </c>
      <c r="D808" s="2" t="s">
        <v>8</v>
      </c>
      <c r="E808" s="2" t="s">
        <v>4154</v>
      </c>
      <c r="F808" s="2">
        <v>1001</v>
      </c>
      <c r="G808" s="2" t="s">
        <v>9</v>
      </c>
      <c r="H808" s="2" t="s">
        <v>49</v>
      </c>
      <c r="I808" s="2" t="s">
        <v>49</v>
      </c>
      <c r="J808" s="2" t="s">
        <v>2708</v>
      </c>
      <c r="K808" s="2" t="s">
        <v>12</v>
      </c>
      <c r="L808" s="2" t="s">
        <v>49</v>
      </c>
      <c r="M808" s="2" t="s">
        <v>14</v>
      </c>
      <c r="N808" s="2" t="s">
        <v>15</v>
      </c>
      <c r="O808" s="2" t="str">
        <f>_xlfn.IFNA(+VLOOKUP(Maestro_Clientes[[#This Row],[Zona]],Tabla1[[#All],[Cruce Reportes]:[ENTREGA ]],2,0),Maestro_Clientes[[#This Row],[Zona]])</f>
        <v>MIERCOLES</v>
      </c>
      <c r="P808" s="2" t="str">
        <f>+VLOOKUP(Maestro_Clientes[[#This Row],[Entrega]],Preparacion!A:B,2,0)</f>
        <v>LUNES</v>
      </c>
    </row>
    <row r="809" spans="1:17" customFormat="1" x14ac:dyDescent="0.25">
      <c r="A809" s="2" t="s">
        <v>4725</v>
      </c>
      <c r="B809" s="2" t="s">
        <v>4726</v>
      </c>
      <c r="C809" s="2" t="s">
        <v>4727</v>
      </c>
      <c r="D809" s="2" t="s">
        <v>8</v>
      </c>
      <c r="E809" s="2" t="s">
        <v>4728</v>
      </c>
      <c r="F809" s="2">
        <v>1028</v>
      </c>
      <c r="G809" s="2" t="s">
        <v>81</v>
      </c>
      <c r="H809" s="2" t="s">
        <v>4729</v>
      </c>
      <c r="I809" s="2" t="s">
        <v>4730</v>
      </c>
      <c r="J809" s="2" t="s">
        <v>4731</v>
      </c>
      <c r="K809" s="2" t="s">
        <v>134</v>
      </c>
      <c r="L809" s="2" t="s">
        <v>3009</v>
      </c>
      <c r="M809" s="2" t="s">
        <v>4732</v>
      </c>
      <c r="N809" s="2" t="s">
        <v>88</v>
      </c>
      <c r="O809" s="2" t="str">
        <f>_xlfn.IFNA(+VLOOKUP(Maestro_Clientes[[#This Row],[Zona]],Tabla1[[#All],[Cruce Reportes]:[ENTREGA ]],2,0),Maestro_Clientes[[#This Row],[Zona]])</f>
        <v>EXPRESO</v>
      </c>
      <c r="P809" s="2" t="str">
        <f>+VLOOKUP(Maestro_Clientes[[#This Row],[Entrega]],Preparacion!A:B,2,0)</f>
        <v>Expreso</v>
      </c>
    </row>
    <row r="810" spans="1:17" customFormat="1" x14ac:dyDescent="0.25">
      <c r="A810" s="2" t="s">
        <v>3464</v>
      </c>
      <c r="B810" s="2" t="s">
        <v>3465</v>
      </c>
      <c r="C810" s="2" t="s">
        <v>3466</v>
      </c>
      <c r="D810" s="2" t="s">
        <v>8</v>
      </c>
      <c r="E810" s="2" t="s">
        <v>3467</v>
      </c>
      <c r="F810" s="2">
        <v>0</v>
      </c>
      <c r="G810" s="2" t="s">
        <v>3176</v>
      </c>
      <c r="H810" s="2" t="s">
        <v>1075</v>
      </c>
      <c r="I810" s="2" t="s">
        <v>62</v>
      </c>
      <c r="J810" s="2" t="s">
        <v>2710</v>
      </c>
      <c r="K810" s="2" t="s">
        <v>63</v>
      </c>
      <c r="L810" s="2" t="s">
        <v>3023</v>
      </c>
      <c r="M810" s="2" t="s">
        <v>2706</v>
      </c>
      <c r="N810" s="2" t="s">
        <v>2706</v>
      </c>
      <c r="O810" s="2" t="str">
        <f>_xlfn.IFNA(+VLOOKUP(Maestro_Clientes[[#This Row],[Zona]],Tabla1[[#All],[Cruce Reportes]:[ENTREGA ]],2,0),Maestro_Clientes[[#This Row],[Zona]])</f>
        <v>LUNES</v>
      </c>
      <c r="P810" s="2" t="str">
        <f>+VLOOKUP(Maestro_Clientes[[#This Row],[Entrega]],Preparacion!A:B,2,0)</f>
        <v>JUEVES</v>
      </c>
      <c r="Q810" s="2"/>
    </row>
    <row r="811" spans="1:17" customFormat="1" x14ac:dyDescent="0.25">
      <c r="A811" s="2" t="s">
        <v>5202</v>
      </c>
      <c r="B811" s="2" t="s">
        <v>5201</v>
      </c>
      <c r="C811" s="2" t="s">
        <v>5203</v>
      </c>
      <c r="D811" s="2" t="s">
        <v>8</v>
      </c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 t="s">
        <v>3116</v>
      </c>
      <c r="P811" s="2" t="str">
        <f>+VLOOKUP(Maestro_Clientes[[#This Row],[Entrega]],Preparacion!A:B,2,0)</f>
        <v>LUNES</v>
      </c>
    </row>
    <row r="812" spans="1:17" customFormat="1" x14ac:dyDescent="0.25">
      <c r="A812" s="2" t="s">
        <v>1130</v>
      </c>
      <c r="B812" s="2" t="s">
        <v>1125</v>
      </c>
      <c r="C812" s="2" t="s">
        <v>1126</v>
      </c>
      <c r="D812" s="2" t="s">
        <v>8</v>
      </c>
      <c r="E812" s="2" t="s">
        <v>1128</v>
      </c>
      <c r="F812" s="2">
        <v>1034</v>
      </c>
      <c r="G812" s="2" t="s">
        <v>158</v>
      </c>
      <c r="H812" s="2" t="s">
        <v>1127</v>
      </c>
      <c r="I812" s="2" t="s">
        <v>1129</v>
      </c>
      <c r="J812" s="2" t="s">
        <v>2849</v>
      </c>
      <c r="K812" s="2" t="s">
        <v>1129</v>
      </c>
      <c r="L812" s="2" t="s">
        <v>3176</v>
      </c>
      <c r="M812" s="2" t="s">
        <v>2706</v>
      </c>
      <c r="N812" s="2" t="s">
        <v>163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4733</v>
      </c>
      <c r="B813" s="2" t="s">
        <v>4734</v>
      </c>
      <c r="C813" s="2" t="s">
        <v>4735</v>
      </c>
      <c r="D813" s="2" t="s">
        <v>8</v>
      </c>
      <c r="E813" s="2" t="s">
        <v>4736</v>
      </c>
      <c r="F813" s="2">
        <v>1028</v>
      </c>
      <c r="G813" s="2" t="s">
        <v>81</v>
      </c>
      <c r="H813" s="2" t="s">
        <v>134</v>
      </c>
      <c r="I813" s="2" t="s">
        <v>4737</v>
      </c>
      <c r="J813" s="2" t="s">
        <v>4738</v>
      </c>
      <c r="K813" s="2" t="s">
        <v>134</v>
      </c>
      <c r="L813" s="2" t="s">
        <v>3009</v>
      </c>
      <c r="M813" s="2" t="s">
        <v>87</v>
      </c>
      <c r="N813" s="2" t="s">
        <v>88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1897</v>
      </c>
      <c r="B814" s="2" t="s">
        <v>1893</v>
      </c>
      <c r="C814" s="2" t="s">
        <v>1894</v>
      </c>
      <c r="D814" s="2" t="s">
        <v>8</v>
      </c>
      <c r="E814" s="2" t="s">
        <v>1895</v>
      </c>
      <c r="F814" s="2">
        <v>1025</v>
      </c>
      <c r="G814" s="2" t="s">
        <v>113</v>
      </c>
      <c r="H814" s="2" t="s">
        <v>184</v>
      </c>
      <c r="I814" s="2" t="s">
        <v>1896</v>
      </c>
      <c r="J814" s="2" t="s">
        <v>2927</v>
      </c>
      <c r="K814" s="2" t="s">
        <v>186</v>
      </c>
      <c r="L814" s="2" t="s">
        <v>3176</v>
      </c>
      <c r="M814" s="2" t="s">
        <v>118</v>
      </c>
      <c r="N814" s="2" t="s">
        <v>119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1366</v>
      </c>
      <c r="B815" s="2" t="s">
        <v>1361</v>
      </c>
      <c r="C815" s="2" t="s">
        <v>1362</v>
      </c>
      <c r="D815" s="2" t="s">
        <v>8</v>
      </c>
      <c r="E815" s="2" t="s">
        <v>1364</v>
      </c>
      <c r="F815" s="2">
        <v>1034</v>
      </c>
      <c r="G815" s="2" t="s">
        <v>158</v>
      </c>
      <c r="H815" s="2" t="s">
        <v>1363</v>
      </c>
      <c r="I815" s="2" t="s">
        <v>1365</v>
      </c>
      <c r="J815" s="2" t="s">
        <v>2875</v>
      </c>
      <c r="K815" s="2" t="s">
        <v>12</v>
      </c>
      <c r="L815" s="2" t="s">
        <v>3176</v>
      </c>
      <c r="M815" s="2" t="s">
        <v>2706</v>
      </c>
      <c r="N815" s="2" t="s">
        <v>163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customFormat="1" x14ac:dyDescent="0.25">
      <c r="A816" s="2" t="s">
        <v>1903</v>
      </c>
      <c r="B816" s="2" t="s">
        <v>1898</v>
      </c>
      <c r="C816" s="2" t="s">
        <v>1899</v>
      </c>
      <c r="D816" s="2" t="s">
        <v>8</v>
      </c>
      <c r="E816" s="2" t="s">
        <v>1901</v>
      </c>
      <c r="F816" s="2">
        <v>1014</v>
      </c>
      <c r="G816" s="2" t="s">
        <v>59</v>
      </c>
      <c r="H816" s="2" t="s">
        <v>1900</v>
      </c>
      <c r="I816" s="2" t="s">
        <v>1902</v>
      </c>
      <c r="J816" s="2" t="s">
        <v>2928</v>
      </c>
      <c r="K816" s="2" t="s">
        <v>12</v>
      </c>
      <c r="L816" s="2" t="s">
        <v>3176</v>
      </c>
      <c r="M816" s="2" t="s">
        <v>2706</v>
      </c>
      <c r="N816" s="2" t="s">
        <v>66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</row>
    <row r="817" spans="1:17" x14ac:dyDescent="0.25">
      <c r="A817" s="2" t="s">
        <v>4182</v>
      </c>
      <c r="B817" s="2" t="s">
        <v>4183</v>
      </c>
      <c r="C817" s="2" t="s">
        <v>4184</v>
      </c>
      <c r="D817" s="2" t="s">
        <v>24</v>
      </c>
      <c r="E817" s="2" t="s">
        <v>4185</v>
      </c>
      <c r="F817" s="2">
        <v>0</v>
      </c>
      <c r="G817" s="2" t="s">
        <v>3176</v>
      </c>
      <c r="H817" s="2" t="s">
        <v>456</v>
      </c>
      <c r="I817" s="2" t="s">
        <v>12</v>
      </c>
      <c r="J817" s="2" t="s">
        <v>2771</v>
      </c>
      <c r="K817" s="2" t="s">
        <v>12</v>
      </c>
      <c r="L817" s="2" t="s">
        <v>3176</v>
      </c>
      <c r="M817" s="2" t="s">
        <v>2706</v>
      </c>
      <c r="N817" s="2" t="s">
        <v>2706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  <c r="Q817"/>
    </row>
    <row r="818" spans="1:17" customFormat="1" x14ac:dyDescent="0.25">
      <c r="A818" s="2" t="s">
        <v>1016</v>
      </c>
      <c r="B818" s="2" t="s">
        <v>1011</v>
      </c>
      <c r="C818" s="2" t="s">
        <v>1012</v>
      </c>
      <c r="D818" s="2" t="s">
        <v>8</v>
      </c>
      <c r="E818" s="2" t="s">
        <v>1014</v>
      </c>
      <c r="F818" s="2">
        <v>1002</v>
      </c>
      <c r="G818" s="2" t="s">
        <v>34</v>
      </c>
      <c r="H818" s="2" t="s">
        <v>1013</v>
      </c>
      <c r="I818" s="2" t="s">
        <v>1015</v>
      </c>
      <c r="J818" s="2" t="s">
        <v>2838</v>
      </c>
      <c r="K818" s="2" t="s">
        <v>1015</v>
      </c>
      <c r="L818" s="2" t="s">
        <v>3176</v>
      </c>
      <c r="M818" s="2" t="s">
        <v>39</v>
      </c>
      <c r="N818" s="2" t="s">
        <v>40</v>
      </c>
      <c r="O818" s="2" t="str">
        <f>_xlfn.IFNA(+VLOOKUP(Maestro_Clientes[[#This Row],[Zona]],Tabla1[[#All],[Cruce Reportes]:[ENTREGA ]],2,0),Maestro_Clientes[[#This Row],[Zona]])</f>
        <v>Expreso</v>
      </c>
      <c r="P818" s="2" t="str">
        <f>+VLOOKUP(Maestro_Clientes[[#This Row],[Entrega]],Preparacion!A:B,2,0)</f>
        <v>Expreso</v>
      </c>
    </row>
    <row r="819" spans="1:17" customFormat="1" x14ac:dyDescent="0.25">
      <c r="A819" s="2" t="s">
        <v>1254</v>
      </c>
      <c r="B819" s="2" t="s">
        <v>1251</v>
      </c>
      <c r="C819" s="2" t="s">
        <v>1252</v>
      </c>
      <c r="D819" s="2" t="s">
        <v>8</v>
      </c>
      <c r="E819" s="2" t="s">
        <v>1253</v>
      </c>
      <c r="F819" s="2">
        <v>1001</v>
      </c>
      <c r="G819" s="2" t="s">
        <v>9</v>
      </c>
      <c r="H819" s="2" t="s">
        <v>1075</v>
      </c>
      <c r="I819" s="2" t="s">
        <v>62</v>
      </c>
      <c r="J819" s="2" t="s">
        <v>2861</v>
      </c>
      <c r="K819" s="2" t="s">
        <v>63</v>
      </c>
      <c r="L819" s="2" t="s">
        <v>3023</v>
      </c>
      <c r="M819" s="2" t="s">
        <v>14</v>
      </c>
      <c r="N819" s="2" t="s">
        <v>15</v>
      </c>
      <c r="O819" s="2" t="str">
        <f>_xlfn.IFNA(+VLOOKUP(Maestro_Clientes[[#This Row],[Zona]],Tabla1[[#All],[Cruce Reportes]:[ENTREGA ]],2,0),Maestro_Clientes[[#This Row],[Zona]])</f>
        <v>LUNES</v>
      </c>
      <c r="P819" s="2" t="str">
        <f>+VLOOKUP(Maestro_Clientes[[#This Row],[Entrega]],Preparacion!A:B,2,0)</f>
        <v>JUEVES</v>
      </c>
      <c r="Q819" s="2"/>
    </row>
    <row r="820" spans="1:17" customFormat="1" x14ac:dyDescent="0.25">
      <c r="A820" s="2" t="s">
        <v>4138</v>
      </c>
      <c r="B820" s="2" t="s">
        <v>4139</v>
      </c>
      <c r="C820" s="2" t="s">
        <v>4140</v>
      </c>
      <c r="D820" s="2" t="s">
        <v>8</v>
      </c>
      <c r="E820" s="2" t="s">
        <v>4141</v>
      </c>
      <c r="F820" s="2">
        <v>1028</v>
      </c>
      <c r="G820" s="2" t="s">
        <v>81</v>
      </c>
      <c r="H820" s="2" t="s">
        <v>4142</v>
      </c>
      <c r="I820" s="2" t="s">
        <v>1365</v>
      </c>
      <c r="J820" s="2" t="s">
        <v>2875</v>
      </c>
      <c r="K820" s="2" t="s">
        <v>12</v>
      </c>
      <c r="L820" s="2" t="s">
        <v>3176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4739</v>
      </c>
      <c r="B821" s="2" t="s">
        <v>4740</v>
      </c>
      <c r="C821" s="2" t="s">
        <v>4741</v>
      </c>
      <c r="D821" s="2" t="s">
        <v>8</v>
      </c>
      <c r="E821" s="2" t="s">
        <v>4742</v>
      </c>
      <c r="F821" s="2">
        <v>1028</v>
      </c>
      <c r="G821" s="2" t="s">
        <v>81</v>
      </c>
      <c r="H821" s="2" t="s">
        <v>4743</v>
      </c>
      <c r="I821" s="2" t="s">
        <v>4429</v>
      </c>
      <c r="J821" s="2" t="s">
        <v>4430</v>
      </c>
      <c r="K821" s="2" t="s">
        <v>12</v>
      </c>
      <c r="L821" s="2" t="s">
        <v>3009</v>
      </c>
      <c r="M821" s="2" t="s">
        <v>87</v>
      </c>
      <c r="N821" s="2" t="s">
        <v>88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3834</v>
      </c>
      <c r="B822" s="2" t="s">
        <v>3835</v>
      </c>
      <c r="C822" s="2" t="s">
        <v>3836</v>
      </c>
      <c r="D822" s="2" t="s">
        <v>8</v>
      </c>
      <c r="E822" s="2" t="s">
        <v>3837</v>
      </c>
      <c r="F822" s="2">
        <v>1034</v>
      </c>
      <c r="G822" s="2" t="s">
        <v>158</v>
      </c>
      <c r="H822" s="2" t="s">
        <v>3838</v>
      </c>
      <c r="I822" s="2" t="s">
        <v>3839</v>
      </c>
      <c r="J822" s="2" t="s">
        <v>3840</v>
      </c>
      <c r="K822" s="2" t="s">
        <v>288</v>
      </c>
      <c r="L822" s="2" t="s">
        <v>3176</v>
      </c>
      <c r="M822" s="2" t="s">
        <v>2706</v>
      </c>
      <c r="N822" s="2" t="s">
        <v>163</v>
      </c>
      <c r="O822" s="2" t="str">
        <f>_xlfn.IFNA(+VLOOKUP(Maestro_Clientes[[#This Row],[Zona]],Tabla1[[#All],[Cruce Reportes]:[ENTREGA ]],2,0),Maestro_Clientes[[#This Row],[Zona]])</f>
        <v>Expreso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5119</v>
      </c>
      <c r="B823" s="2" t="s">
        <v>5117</v>
      </c>
      <c r="C823" s="2" t="s">
        <v>5118</v>
      </c>
      <c r="D823" s="2" t="s">
        <v>8</v>
      </c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 t="s">
        <v>3176</v>
      </c>
      <c r="P823" s="2" t="str">
        <f>+VLOOKUP(Maestro_Clientes[[#This Row],[Entrega]],Preparacion!A:B,2,0)</f>
        <v>Expreso</v>
      </c>
    </row>
    <row r="824" spans="1:17" customFormat="1" x14ac:dyDescent="0.25">
      <c r="A824" s="2" t="s">
        <v>3361</v>
      </c>
      <c r="B824" s="2" t="s">
        <v>3362</v>
      </c>
      <c r="C824" s="2" t="s">
        <v>3363</v>
      </c>
      <c r="D824" s="2" t="s">
        <v>8</v>
      </c>
      <c r="E824" s="2" t="s">
        <v>3364</v>
      </c>
      <c r="F824" s="2">
        <v>1028</v>
      </c>
      <c r="G824" s="2" t="s">
        <v>81</v>
      </c>
      <c r="H824" s="2" t="s">
        <v>1980</v>
      </c>
      <c r="I824" s="2" t="s">
        <v>1980</v>
      </c>
      <c r="J824" s="2" t="s">
        <v>2936</v>
      </c>
      <c r="K824" s="2" t="s">
        <v>12</v>
      </c>
      <c r="L824" s="2" t="s">
        <v>630</v>
      </c>
      <c r="M824" s="2" t="s">
        <v>87</v>
      </c>
      <c r="N824" s="2" t="s">
        <v>88</v>
      </c>
      <c r="O824" s="2" t="s">
        <v>3125</v>
      </c>
      <c r="P824" s="2" t="str">
        <f>+VLOOKUP(Maestro_Clientes[[#This Row],[Entrega]],Preparacion!A:B,2,0)</f>
        <v>MARTES</v>
      </c>
    </row>
    <row r="825" spans="1:17" customFormat="1" x14ac:dyDescent="0.25">
      <c r="A825" s="2" t="s">
        <v>3853</v>
      </c>
      <c r="B825" s="2" t="s">
        <v>3854</v>
      </c>
      <c r="C825" s="2" t="s">
        <v>3855</v>
      </c>
      <c r="D825" s="2" t="s">
        <v>8</v>
      </c>
      <c r="E825" s="2" t="s">
        <v>3856</v>
      </c>
      <c r="F825" s="2">
        <v>1025</v>
      </c>
      <c r="G825" s="2" t="s">
        <v>113</v>
      </c>
      <c r="H825" s="2" t="s">
        <v>301</v>
      </c>
      <c r="I825" s="2" t="s">
        <v>303</v>
      </c>
      <c r="J825" s="2" t="s">
        <v>2748</v>
      </c>
      <c r="K825" s="2" t="s">
        <v>281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2571</v>
      </c>
      <c r="B826" s="2" t="s">
        <v>2566</v>
      </c>
      <c r="C826" s="2" t="s">
        <v>2567</v>
      </c>
      <c r="D826" s="2" t="s">
        <v>8</v>
      </c>
      <c r="E826" s="2" t="s">
        <v>2569</v>
      </c>
      <c r="F826" s="2">
        <v>1025</v>
      </c>
      <c r="G826" s="2" t="s">
        <v>113</v>
      </c>
      <c r="H826" s="2" t="s">
        <v>2568</v>
      </c>
      <c r="I826" s="2" t="s">
        <v>2570</v>
      </c>
      <c r="J826" s="2" t="s">
        <v>2994</v>
      </c>
      <c r="K826" s="2" t="s">
        <v>140</v>
      </c>
      <c r="L826" s="2" t="s">
        <v>3176</v>
      </c>
      <c r="M826" s="2" t="s">
        <v>118</v>
      </c>
      <c r="N826" s="2" t="s">
        <v>119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customFormat="1" x14ac:dyDescent="0.25">
      <c r="A827" s="2" t="s">
        <v>2024</v>
      </c>
      <c r="B827" s="2" t="s">
        <v>2021</v>
      </c>
      <c r="C827" s="2" t="s">
        <v>2022</v>
      </c>
      <c r="D827" s="2" t="s">
        <v>8</v>
      </c>
      <c r="E827" s="2" t="s">
        <v>2023</v>
      </c>
      <c r="F827" s="2">
        <v>0</v>
      </c>
      <c r="G827" s="2" t="s">
        <v>3176</v>
      </c>
      <c r="H827" s="2" t="s">
        <v>622</v>
      </c>
      <c r="I827" s="2" t="s">
        <v>622</v>
      </c>
      <c r="J827" s="2" t="s">
        <v>2793</v>
      </c>
      <c r="K827" s="2" t="s">
        <v>12</v>
      </c>
      <c r="L827" s="2" t="s">
        <v>3176</v>
      </c>
      <c r="M827" s="2" t="s">
        <v>2706</v>
      </c>
      <c r="N827" s="2" t="s">
        <v>2706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</row>
    <row r="828" spans="1:17" x14ac:dyDescent="0.25">
      <c r="A828" s="2" t="s">
        <v>1329</v>
      </c>
      <c r="B828" s="2" t="s">
        <v>1325</v>
      </c>
      <c r="C828" s="2" t="s">
        <v>1326</v>
      </c>
      <c r="D828" s="2" t="s">
        <v>8</v>
      </c>
      <c r="E828" s="2" t="s">
        <v>1327</v>
      </c>
      <c r="F828" s="2">
        <v>1014</v>
      </c>
      <c r="G828" s="2" t="s">
        <v>59</v>
      </c>
      <c r="H828" s="2" t="s">
        <v>166</v>
      </c>
      <c r="I828" s="2" t="s">
        <v>1328</v>
      </c>
      <c r="J828" s="2" t="s">
        <v>2871</v>
      </c>
      <c r="K828" s="2" t="s">
        <v>169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  <c r="Q828"/>
    </row>
    <row r="829" spans="1:17" customFormat="1" x14ac:dyDescent="0.25">
      <c r="A829" s="2" t="s">
        <v>1784</v>
      </c>
      <c r="B829" s="2" t="s">
        <v>1780</v>
      </c>
      <c r="C829" s="2" t="s">
        <v>1781</v>
      </c>
      <c r="D829" s="2" t="s">
        <v>8</v>
      </c>
      <c r="E829" s="2" t="s">
        <v>1783</v>
      </c>
      <c r="F829" s="2">
        <v>1014</v>
      </c>
      <c r="G829" s="2" t="s">
        <v>59</v>
      </c>
      <c r="H829" s="2" t="s">
        <v>1782</v>
      </c>
      <c r="I829" s="2" t="s">
        <v>317</v>
      </c>
      <c r="J829" s="2" t="s">
        <v>2751</v>
      </c>
      <c r="K829" s="2" t="s">
        <v>126</v>
      </c>
      <c r="L829" s="2" t="s">
        <v>3176</v>
      </c>
      <c r="M829" s="2" t="s">
        <v>2706</v>
      </c>
      <c r="N829" s="2" t="s">
        <v>66</v>
      </c>
      <c r="O829" s="2" t="str">
        <f>_xlfn.IFNA(+VLOOKUP(Maestro_Clientes[[#This Row],[Zona]],Tabla1[[#All],[Cruce Reportes]:[ENTREGA ]],2,0),Maestro_Clientes[[#This Row],[Zona]])</f>
        <v>Expreso</v>
      </c>
      <c r="P829" s="2" t="str">
        <f>+VLOOKUP(Maestro_Clientes[[#This Row],[Entrega]],Preparacion!A:B,2,0)</f>
        <v>Expreso</v>
      </c>
    </row>
    <row r="830" spans="1:17" customFormat="1" x14ac:dyDescent="0.25">
      <c r="A830" s="2" t="s">
        <v>3498</v>
      </c>
      <c r="B830" s="2" t="s">
        <v>3499</v>
      </c>
      <c r="C830" s="2" t="s">
        <v>3500</v>
      </c>
      <c r="D830" s="2" t="s">
        <v>8</v>
      </c>
      <c r="E830" s="2" t="s">
        <v>3501</v>
      </c>
      <c r="F830" s="2">
        <v>1028</v>
      </c>
      <c r="G830" s="2" t="s">
        <v>81</v>
      </c>
      <c r="H830" s="2" t="s">
        <v>917</v>
      </c>
      <c r="I830" s="2" t="s">
        <v>917</v>
      </c>
      <c r="J830" s="2" t="s">
        <v>2827</v>
      </c>
      <c r="K830" s="2" t="s">
        <v>12</v>
      </c>
      <c r="L830" s="2" t="s">
        <v>346</v>
      </c>
      <c r="M830" s="2" t="s">
        <v>87</v>
      </c>
      <c r="N830" s="2" t="s">
        <v>88</v>
      </c>
      <c r="O830" s="2" t="str">
        <f>_xlfn.IFNA(+VLOOKUP(Maestro_Clientes[[#This Row],[Zona]],Tabla1[[#All],[Cruce Reportes]:[ENTREGA ]],2,0),Maestro_Clientes[[#This Row],[Zona]])</f>
        <v>LUNES</v>
      </c>
      <c r="P830" s="2" t="str">
        <f>+VLOOKUP(Maestro_Clientes[[#This Row],[Entrega]],Preparacion!A:B,2,0)</f>
        <v>JUEVES</v>
      </c>
      <c r="Q830" s="2"/>
    </row>
    <row r="831" spans="1:17" customFormat="1" x14ac:dyDescent="0.25">
      <c r="A831" s="2" t="s">
        <v>3376</v>
      </c>
      <c r="B831" s="2" t="s">
        <v>3377</v>
      </c>
      <c r="C831" s="2" t="s">
        <v>3378</v>
      </c>
      <c r="D831" s="2" t="s">
        <v>8</v>
      </c>
      <c r="E831" s="2" t="s">
        <v>3379</v>
      </c>
      <c r="F831" s="2">
        <v>1018</v>
      </c>
      <c r="G831" s="2" t="s">
        <v>1886</v>
      </c>
      <c r="H831" s="2" t="s">
        <v>446</v>
      </c>
      <c r="I831" s="2" t="s">
        <v>446</v>
      </c>
      <c r="J831" s="2" t="s">
        <v>2769</v>
      </c>
      <c r="K831" s="2" t="s">
        <v>12</v>
      </c>
      <c r="L831" s="2" t="s">
        <v>447</v>
      </c>
      <c r="M831" s="2" t="s">
        <v>1887</v>
      </c>
      <c r="N831" s="2" t="s">
        <v>1888</v>
      </c>
      <c r="O831" s="2" t="s">
        <v>3125</v>
      </c>
      <c r="P831" s="2" t="str">
        <f>+VLOOKUP(Maestro_Clientes[[#This Row],[Entrega]],Preparacion!A:B,2,0)</f>
        <v>MARTES</v>
      </c>
    </row>
    <row r="832" spans="1:17" customFormat="1" x14ac:dyDescent="0.25">
      <c r="A832" s="2" t="s">
        <v>1111</v>
      </c>
      <c r="B832" s="2" t="s">
        <v>1107</v>
      </c>
      <c r="C832" s="2" t="s">
        <v>1108</v>
      </c>
      <c r="D832" s="2" t="s">
        <v>8</v>
      </c>
      <c r="E832" s="2" t="s">
        <v>1110</v>
      </c>
      <c r="F832" s="2">
        <v>1001</v>
      </c>
      <c r="G832" s="2" t="s">
        <v>9</v>
      </c>
      <c r="H832" s="2" t="s">
        <v>1109</v>
      </c>
      <c r="I832" s="2" t="s">
        <v>1109</v>
      </c>
      <c r="J832" s="2" t="s">
        <v>2848</v>
      </c>
      <c r="K832" s="2" t="s">
        <v>12</v>
      </c>
      <c r="L832" s="2" t="s">
        <v>1109</v>
      </c>
      <c r="M832" s="2" t="s">
        <v>14</v>
      </c>
      <c r="N832" s="2" t="s">
        <v>15</v>
      </c>
      <c r="O832" s="2" t="str">
        <f>_xlfn.IFNA(+VLOOKUP(Maestro_Clientes[[#This Row],[Zona]],Tabla1[[#All],[Cruce Reportes]:[ENTREGA ]],2,0),Maestro_Clientes[[#This Row],[Zona]])</f>
        <v>MIERCOLES</v>
      </c>
      <c r="P832" s="2" t="str">
        <f>+VLOOKUP(Maestro_Clientes[[#This Row],[Entrega]],Preparacion!A:B,2,0)</f>
        <v>LUNES</v>
      </c>
    </row>
    <row r="833" spans="1:17" customFormat="1" x14ac:dyDescent="0.25">
      <c r="A833" s="2" t="s">
        <v>3857</v>
      </c>
      <c r="B833" s="2" t="s">
        <v>3858</v>
      </c>
      <c r="C833" s="2" t="s">
        <v>3859</v>
      </c>
      <c r="D833" s="2" t="s">
        <v>8</v>
      </c>
      <c r="E833" s="2" t="s">
        <v>3860</v>
      </c>
      <c r="F833" s="2">
        <v>1018</v>
      </c>
      <c r="G833" s="2" t="s">
        <v>1886</v>
      </c>
      <c r="H833" s="2" t="s">
        <v>3861</v>
      </c>
      <c r="I833" s="2" t="s">
        <v>3862</v>
      </c>
      <c r="J833" s="2" t="s">
        <v>3863</v>
      </c>
      <c r="K833" s="2" t="s">
        <v>126</v>
      </c>
      <c r="L833" s="2" t="s">
        <v>3176</v>
      </c>
      <c r="M833" s="2" t="s">
        <v>1887</v>
      </c>
      <c r="N833" s="2" t="s">
        <v>1888</v>
      </c>
      <c r="O833" s="2" t="str">
        <f>_xlfn.IFNA(+VLOOKUP(Maestro_Clientes[[#This Row],[Zona]],Tabla1[[#All],[Cruce Reportes]:[ENTREGA ]],2,0),Maestro_Clientes[[#This Row],[Zona]])</f>
        <v>Expreso</v>
      </c>
      <c r="P833" s="2" t="str">
        <f>+VLOOKUP(Maestro_Clientes[[#This Row],[Entrega]],Preparacion!A:B,2,0)</f>
        <v>Expreso</v>
      </c>
    </row>
    <row r="834" spans="1:17" x14ac:dyDescent="0.25">
      <c r="A834" s="2" t="s">
        <v>5044</v>
      </c>
      <c r="B834" s="2" t="s">
        <v>5043</v>
      </c>
      <c r="C834" s="2" t="s">
        <v>5045</v>
      </c>
      <c r="D834" s="2" t="s">
        <v>8</v>
      </c>
      <c r="O834" s="2" t="s">
        <v>3125</v>
      </c>
      <c r="P834" s="2" t="str">
        <f>+VLOOKUP(Maestro_Clientes[[#This Row],[Entrega]],Preparacion!A:B,2,0)</f>
        <v>MARTES</v>
      </c>
      <c r="Q834"/>
    </row>
    <row r="835" spans="1:17" x14ac:dyDescent="0.25">
      <c r="A835" s="2" t="s">
        <v>1789</v>
      </c>
      <c r="B835" s="2" t="s">
        <v>1785</v>
      </c>
      <c r="C835" s="2" t="s">
        <v>1786</v>
      </c>
      <c r="D835" s="2" t="s">
        <v>8</v>
      </c>
      <c r="E835" s="2" t="s">
        <v>1787</v>
      </c>
      <c r="F835" s="2">
        <v>1014</v>
      </c>
      <c r="G835" s="2" t="s">
        <v>59</v>
      </c>
      <c r="H835" s="2" t="s">
        <v>301</v>
      </c>
      <c r="I835" s="2" t="s">
        <v>1788</v>
      </c>
      <c r="J835" s="2" t="s">
        <v>2918</v>
      </c>
      <c r="K835" s="2" t="s">
        <v>281</v>
      </c>
      <c r="L835" s="2" t="s">
        <v>3176</v>
      </c>
      <c r="M835" s="2" t="s">
        <v>2706</v>
      </c>
      <c r="N835" s="2" t="s">
        <v>66</v>
      </c>
      <c r="O835" s="2" t="str">
        <f>_xlfn.IFNA(+VLOOKUP(Maestro_Clientes[[#This Row],[Zona]],Tabla1[[#All],[Cruce Reportes]:[ENTREGA ]],2,0),Maestro_Clientes[[#This Row],[Zona]])</f>
        <v>Expreso</v>
      </c>
      <c r="P835" s="2" t="str">
        <f>+VLOOKUP(Maestro_Clientes[[#This Row],[Entrega]],Preparacion!A:B,2,0)</f>
        <v>Expreso</v>
      </c>
      <c r="Q835"/>
    </row>
    <row r="836" spans="1:17" customFormat="1" x14ac:dyDescent="0.25">
      <c r="A836" s="2" t="s">
        <v>962</v>
      </c>
      <c r="B836" s="2" t="s">
        <v>958</v>
      </c>
      <c r="C836" s="2" t="s">
        <v>959</v>
      </c>
      <c r="D836" s="2" t="s">
        <v>8</v>
      </c>
      <c r="E836" s="2" t="s">
        <v>961</v>
      </c>
      <c r="F836" s="2">
        <v>0</v>
      </c>
      <c r="G836" s="2" t="s">
        <v>3176</v>
      </c>
      <c r="H836" s="2" t="s">
        <v>960</v>
      </c>
      <c r="I836" s="2" t="s">
        <v>960</v>
      </c>
      <c r="J836" s="2" t="s">
        <v>2703</v>
      </c>
      <c r="K836" s="2" t="s">
        <v>12</v>
      </c>
      <c r="L836" s="2" t="s">
        <v>10</v>
      </c>
      <c r="M836" s="2" t="s">
        <v>2706</v>
      </c>
      <c r="N836" s="2" t="s">
        <v>2706</v>
      </c>
      <c r="O836" s="2" t="str">
        <f>_xlfn.IFNA(+VLOOKUP(Maestro_Clientes[[#This Row],[Zona]],Tabla1[[#All],[Cruce Reportes]:[ENTREGA ]],2,0),Maestro_Clientes[[#This Row],[Zona]])</f>
        <v>MARTES</v>
      </c>
      <c r="P836" s="2" t="str">
        <f>+VLOOKUP(Maestro_Clientes[[#This Row],[Entrega]],Preparacion!A:B,2,0)</f>
        <v>VIERNES</v>
      </c>
    </row>
    <row r="837" spans="1:17" x14ac:dyDescent="0.25">
      <c r="A837" s="2" t="s">
        <v>4759</v>
      </c>
      <c r="B837" s="2" t="s">
        <v>4760</v>
      </c>
      <c r="C837" s="2" t="s">
        <v>4761</v>
      </c>
      <c r="D837" s="2" t="s">
        <v>8</v>
      </c>
      <c r="E837" s="2" t="s">
        <v>4762</v>
      </c>
      <c r="F837" s="2">
        <v>1014</v>
      </c>
      <c r="G837" s="2" t="s">
        <v>59</v>
      </c>
      <c r="H837" s="2" t="s">
        <v>4763</v>
      </c>
      <c r="I837" s="2" t="s">
        <v>4764</v>
      </c>
      <c r="J837" s="2" t="s">
        <v>4765</v>
      </c>
      <c r="K837" s="2" t="s">
        <v>220</v>
      </c>
      <c r="L837" s="2" t="s">
        <v>3009</v>
      </c>
      <c r="M837" s="2" t="s">
        <v>2706</v>
      </c>
      <c r="N837" s="2" t="s">
        <v>66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  <c r="Q837"/>
    </row>
    <row r="838" spans="1:17" customFormat="1" x14ac:dyDescent="0.25">
      <c r="A838" s="2" t="s">
        <v>1391</v>
      </c>
      <c r="B838" s="2" t="s">
        <v>1386</v>
      </c>
      <c r="C838" s="2" t="s">
        <v>1387</v>
      </c>
      <c r="D838" s="2" t="s">
        <v>8</v>
      </c>
      <c r="E838" s="2" t="s">
        <v>1389</v>
      </c>
      <c r="F838" s="2">
        <v>1002</v>
      </c>
      <c r="G838" s="2" t="s">
        <v>34</v>
      </c>
      <c r="H838" s="2" t="s">
        <v>1388</v>
      </c>
      <c r="I838" s="2" t="s">
        <v>1390</v>
      </c>
      <c r="J838" s="2" t="s">
        <v>2879</v>
      </c>
      <c r="K838" s="2" t="s">
        <v>12</v>
      </c>
      <c r="L838" s="2" t="s">
        <v>3176</v>
      </c>
      <c r="M838" s="2" t="s">
        <v>39</v>
      </c>
      <c r="N838" s="2" t="s">
        <v>40</v>
      </c>
      <c r="O838" s="2" t="str">
        <f>_xlfn.IFNA(+VLOOKUP(Maestro_Clientes[[#This Row],[Zona]],Tabla1[[#All],[Cruce Reportes]:[ENTREGA ]],2,0),Maestro_Clientes[[#This Row],[Zona]])</f>
        <v>Expreso</v>
      </c>
      <c r="P838" s="2" t="str">
        <f>+VLOOKUP(Maestro_Clientes[[#This Row],[Entrega]],Preparacion!A:B,2,0)</f>
        <v>Expreso</v>
      </c>
    </row>
    <row r="839" spans="1:17" customFormat="1" x14ac:dyDescent="0.25">
      <c r="A839" s="2" t="s">
        <v>2398</v>
      </c>
      <c r="B839" s="2" t="s">
        <v>2394</v>
      </c>
      <c r="C839" s="2" t="s">
        <v>2395</v>
      </c>
      <c r="D839" s="2" t="s">
        <v>8</v>
      </c>
      <c r="E839" s="2" t="s">
        <v>2397</v>
      </c>
      <c r="F839" s="2">
        <v>1002</v>
      </c>
      <c r="G839" s="2" t="s">
        <v>34</v>
      </c>
      <c r="H839" s="2" t="s">
        <v>2396</v>
      </c>
      <c r="I839" s="2" t="s">
        <v>2396</v>
      </c>
      <c r="J839" s="2" t="s">
        <v>2977</v>
      </c>
      <c r="K839" s="2" t="s">
        <v>12</v>
      </c>
      <c r="L839" s="2" t="s">
        <v>451</v>
      </c>
      <c r="M839" s="2" t="s">
        <v>39</v>
      </c>
      <c r="N839" s="2" t="s">
        <v>40</v>
      </c>
      <c r="O839" s="2" t="s">
        <v>3125</v>
      </c>
      <c r="P839" s="2" t="str">
        <f>+VLOOKUP(Maestro_Clientes[[#This Row],[Entrega]],Preparacion!A:B,2,0)</f>
        <v>MARTES</v>
      </c>
    </row>
    <row r="840" spans="1:17" customFormat="1" x14ac:dyDescent="0.25">
      <c r="A840" s="2" t="s">
        <v>5099</v>
      </c>
      <c r="B840" s="2" t="s">
        <v>5097</v>
      </c>
      <c r="C840" s="2" t="s">
        <v>5098</v>
      </c>
      <c r="D840" s="2" t="s">
        <v>8</v>
      </c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 t="s">
        <v>3176</v>
      </c>
      <c r="P840" s="2" t="str">
        <f>+VLOOKUP(Maestro_Clientes[[#This Row],[Entrega]],Preparacion!A:B,2,0)</f>
        <v>Expreso</v>
      </c>
    </row>
    <row r="841" spans="1:17" x14ac:dyDescent="0.25">
      <c r="A841" s="2" t="s">
        <v>5063</v>
      </c>
      <c r="B841" s="2" t="s">
        <v>5061</v>
      </c>
      <c r="C841" s="2" t="s">
        <v>5062</v>
      </c>
      <c r="D841" s="2" t="s">
        <v>8</v>
      </c>
      <c r="O841" s="2" t="s">
        <v>3023</v>
      </c>
      <c r="P841" s="2" t="str">
        <f>+VLOOKUP(Maestro_Clientes[[#This Row],[Entrega]],Preparacion!A:B,2,0)</f>
        <v>JUEVES</v>
      </c>
    </row>
    <row r="842" spans="1:17" customFormat="1" x14ac:dyDescent="0.25">
      <c r="A842" s="2" t="s">
        <v>828</v>
      </c>
      <c r="B842" s="2" t="s">
        <v>824</v>
      </c>
      <c r="C842" s="2" t="s">
        <v>825</v>
      </c>
      <c r="D842" s="2" t="s">
        <v>8</v>
      </c>
      <c r="E842" s="2" t="s">
        <v>826</v>
      </c>
      <c r="F842" s="2">
        <v>1002</v>
      </c>
      <c r="G842" s="2" t="s">
        <v>34</v>
      </c>
      <c r="H842" s="2" t="s">
        <v>166</v>
      </c>
      <c r="I842" s="2" t="s">
        <v>827</v>
      </c>
      <c r="J842" s="2" t="s">
        <v>2816</v>
      </c>
      <c r="K842" s="2" t="s">
        <v>169</v>
      </c>
      <c r="L842" s="2" t="s">
        <v>3176</v>
      </c>
      <c r="M842" s="2" t="s">
        <v>39</v>
      </c>
      <c r="N842" s="2" t="s">
        <v>40</v>
      </c>
      <c r="O842" s="2" t="str">
        <f>_xlfn.IFNA(+VLOOKUP(Maestro_Clientes[[#This Row],[Zona]],Tabla1[[#All],[Cruce Reportes]:[ENTREGA ]],2,0),Maestro_Clientes[[#This Row],[Zona]])</f>
        <v>Expreso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5041</v>
      </c>
      <c r="B843" s="2" t="s">
        <v>5040</v>
      </c>
      <c r="C843" s="2" t="s">
        <v>5042</v>
      </c>
      <c r="D843" s="2" t="s">
        <v>8</v>
      </c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 t="s">
        <v>3176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4749</v>
      </c>
      <c r="B844" s="2" t="s">
        <v>4750</v>
      </c>
      <c r="C844" s="2" t="s">
        <v>4751</v>
      </c>
      <c r="D844" s="2" t="s">
        <v>8</v>
      </c>
      <c r="E844" s="2" t="s">
        <v>4752</v>
      </c>
      <c r="F844" s="2">
        <v>1002</v>
      </c>
      <c r="G844" s="2" t="s">
        <v>34</v>
      </c>
      <c r="H844" s="2" t="s">
        <v>757</v>
      </c>
      <c r="I844" s="2" t="s">
        <v>4753</v>
      </c>
      <c r="J844" s="2" t="s">
        <v>4754</v>
      </c>
      <c r="K844" s="2" t="s">
        <v>243</v>
      </c>
      <c r="L844" s="2" t="s">
        <v>3009</v>
      </c>
      <c r="M844" s="2" t="s">
        <v>39</v>
      </c>
      <c r="N844" s="2" t="s">
        <v>40</v>
      </c>
      <c r="O844" s="2" t="str">
        <f>_xlfn.IFNA(+VLOOKUP(Maestro_Clientes[[#This Row],[Zona]],Tabla1[[#All],[Cruce Reportes]:[ENTREGA ]],2,0),Maestro_Clientes[[#This Row],[Zona]])</f>
        <v>EXPRESO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5144</v>
      </c>
      <c r="B845" s="2" t="s">
        <v>5142</v>
      </c>
      <c r="C845" s="2" t="s">
        <v>5143</v>
      </c>
      <c r="D845" s="2" t="s">
        <v>8</v>
      </c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 t="s">
        <v>3176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3841</v>
      </c>
      <c r="B846" s="2" t="s">
        <v>3842</v>
      </c>
      <c r="C846" s="2" t="s">
        <v>3843</v>
      </c>
      <c r="D846" s="2" t="s">
        <v>8</v>
      </c>
      <c r="E846" s="2" t="s">
        <v>3844</v>
      </c>
      <c r="F846" s="2">
        <v>1034</v>
      </c>
      <c r="G846" s="2" t="s">
        <v>158</v>
      </c>
      <c r="H846" s="2" t="s">
        <v>229</v>
      </c>
      <c r="I846" s="2" t="s">
        <v>3845</v>
      </c>
      <c r="J846" s="2" t="s">
        <v>3003</v>
      </c>
      <c r="K846" s="2" t="s">
        <v>126</v>
      </c>
      <c r="L846" s="2" t="s">
        <v>3176</v>
      </c>
      <c r="M846" s="2" t="s">
        <v>2706</v>
      </c>
      <c r="N846" s="2" t="s">
        <v>163</v>
      </c>
      <c r="O846" s="2" t="str">
        <f>_xlfn.IFNA(+VLOOKUP(Maestro_Clientes[[#This Row],[Zona]],Tabla1[[#All],[Cruce Reportes]:[ENTREGA ]],2,0),Maestro_Clientes[[#This Row],[Zona]])</f>
        <v>Expreso</v>
      </c>
      <c r="P846" s="2" t="str">
        <f>+VLOOKUP(Maestro_Clientes[[#This Row],[Entrega]],Preparacion!A:B,2,0)</f>
        <v>Expreso</v>
      </c>
    </row>
    <row r="847" spans="1:17" customFormat="1" x14ac:dyDescent="0.25">
      <c r="A847" s="2" t="s">
        <v>3502</v>
      </c>
      <c r="B847" s="2" t="s">
        <v>3503</v>
      </c>
      <c r="C847" s="2" t="s">
        <v>3504</v>
      </c>
      <c r="D847" s="2" t="s">
        <v>8</v>
      </c>
      <c r="E847" s="2" t="s">
        <v>3505</v>
      </c>
      <c r="F847" s="2">
        <v>1028</v>
      </c>
      <c r="G847" s="2" t="s">
        <v>81</v>
      </c>
      <c r="H847" s="2" t="s">
        <v>1597</v>
      </c>
      <c r="I847" s="2" t="s">
        <v>1597</v>
      </c>
      <c r="J847" s="2" t="s">
        <v>3506</v>
      </c>
      <c r="K847" s="2" t="s">
        <v>12</v>
      </c>
      <c r="L847" s="2" t="s">
        <v>346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1606</v>
      </c>
      <c r="B848" s="2" t="s">
        <v>1601</v>
      </c>
      <c r="C848" s="2" t="s">
        <v>1602</v>
      </c>
      <c r="D848" s="2" t="s">
        <v>8</v>
      </c>
      <c r="E848" s="2" t="s">
        <v>1604</v>
      </c>
      <c r="F848" s="2">
        <v>1028</v>
      </c>
      <c r="G848" s="2" t="s">
        <v>81</v>
      </c>
      <c r="H848" s="2" t="s">
        <v>1603</v>
      </c>
      <c r="I848" s="2" t="s">
        <v>1605</v>
      </c>
      <c r="J848" s="2" t="s">
        <v>2899</v>
      </c>
      <c r="K848" s="2" t="s">
        <v>63</v>
      </c>
      <c r="L848" s="2" t="s">
        <v>3023</v>
      </c>
      <c r="M848" s="2" t="s">
        <v>87</v>
      </c>
      <c r="N848" s="2" t="s">
        <v>88</v>
      </c>
      <c r="O848" s="2" t="str">
        <f>_xlfn.IFNA(+VLOOKUP(Maestro_Clientes[[#This Row],[Zona]],Tabla1[[#All],[Cruce Reportes]:[ENTREGA ]],2,0),Maestro_Clientes[[#This Row],[Zona]])</f>
        <v>LUNES</v>
      </c>
      <c r="P848" s="2" t="str">
        <f>+VLOOKUP(Maestro_Clientes[[#This Row],[Entrega]],Preparacion!A:B,2,0)</f>
        <v>JUEVES</v>
      </c>
      <c r="Q848" s="2"/>
    </row>
    <row r="849" spans="1:17" customFormat="1" x14ac:dyDescent="0.25">
      <c r="A849" s="2" t="s">
        <v>21</v>
      </c>
      <c r="B849" s="2" t="s">
        <v>16</v>
      </c>
      <c r="C849" s="2" t="s">
        <v>17</v>
      </c>
      <c r="D849" s="2" t="s">
        <v>8</v>
      </c>
      <c r="E849" s="2" t="s">
        <v>19</v>
      </c>
      <c r="F849" s="2">
        <v>1001</v>
      </c>
      <c r="G849" s="2" t="s">
        <v>9</v>
      </c>
      <c r="H849" s="2" t="s">
        <v>18</v>
      </c>
      <c r="I849" s="2" t="s">
        <v>18</v>
      </c>
      <c r="J849" s="2" t="s">
        <v>2702</v>
      </c>
      <c r="K849" s="2" t="s">
        <v>12</v>
      </c>
      <c r="L849" s="2" t="s">
        <v>20</v>
      </c>
      <c r="M849" s="2" t="s">
        <v>14</v>
      </c>
      <c r="N849" s="2" t="s">
        <v>15</v>
      </c>
      <c r="O849" s="2" t="str">
        <f>_xlfn.IFNA(+VLOOKUP(Maestro_Clientes[[#This Row],[Zona]],Tabla1[[#All],[Cruce Reportes]:[ENTREGA ]],2,0),Maestro_Clientes[[#This Row],[Zona]])</f>
        <v>MARTES</v>
      </c>
      <c r="P849" s="2" t="str">
        <f>+VLOOKUP(Maestro_Clientes[[#This Row],[Entrega]],Preparacion!A:B,2,0)</f>
        <v>VIERNES</v>
      </c>
    </row>
    <row r="850" spans="1:17" customFormat="1" x14ac:dyDescent="0.25">
      <c r="A850" s="2" t="s">
        <v>1250</v>
      </c>
      <c r="B850" s="2" t="s">
        <v>1246</v>
      </c>
      <c r="C850" s="2" t="s">
        <v>1247</v>
      </c>
      <c r="D850" s="2" t="s">
        <v>8</v>
      </c>
      <c r="E850" s="2" t="s">
        <v>1249</v>
      </c>
      <c r="F850" s="2">
        <v>1002</v>
      </c>
      <c r="G850" s="2" t="s">
        <v>34</v>
      </c>
      <c r="H850" s="2" t="s">
        <v>1248</v>
      </c>
      <c r="I850" s="2" t="s">
        <v>1248</v>
      </c>
      <c r="J850" s="2" t="s">
        <v>2713</v>
      </c>
      <c r="K850" s="2" t="s">
        <v>12</v>
      </c>
      <c r="L850" s="2" t="s">
        <v>85</v>
      </c>
      <c r="M850" s="2" t="s">
        <v>39</v>
      </c>
      <c r="N850" s="2" t="s">
        <v>40</v>
      </c>
      <c r="O850" s="2" t="str">
        <f>_xlfn.IFNA(+VLOOKUP(Maestro_Clientes[[#This Row],[Zona]],Tabla1[[#All],[Cruce Reportes]:[ENTREGA ]],2,0),Maestro_Clientes[[#This Row],[Zona]])</f>
        <v>LUNES</v>
      </c>
      <c r="P850" s="2" t="str">
        <f>+VLOOKUP(Maestro_Clientes[[#This Row],[Entrega]],Preparacion!A:B,2,0)</f>
        <v>JUEVES</v>
      </c>
      <c r="Q850" s="2"/>
    </row>
    <row r="851" spans="1:17" customFormat="1" x14ac:dyDescent="0.25">
      <c r="A851" s="2" t="s">
        <v>4755</v>
      </c>
      <c r="B851" s="2" t="s">
        <v>4756</v>
      </c>
      <c r="C851" s="2" t="s">
        <v>4757</v>
      </c>
      <c r="D851" s="2" t="s">
        <v>24</v>
      </c>
      <c r="E851" s="2" t="s">
        <v>4758</v>
      </c>
      <c r="F851" s="2">
        <v>0</v>
      </c>
      <c r="G851" s="2" t="s">
        <v>3176</v>
      </c>
      <c r="H851" s="2" t="s">
        <v>173</v>
      </c>
      <c r="I851" s="2" t="s">
        <v>474</v>
      </c>
      <c r="J851" s="2" t="s">
        <v>2772</v>
      </c>
      <c r="K851" s="2" t="s">
        <v>186</v>
      </c>
      <c r="L851" s="2" t="s">
        <v>3009</v>
      </c>
      <c r="M851" s="2" t="s">
        <v>2706</v>
      </c>
      <c r="N851" s="2" t="s">
        <v>2706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2546</v>
      </c>
      <c r="B852" s="2" t="s">
        <v>2542</v>
      </c>
      <c r="C852" s="2" t="s">
        <v>2543</v>
      </c>
      <c r="D852" s="2" t="s">
        <v>8</v>
      </c>
      <c r="E852" s="2" t="s">
        <v>2544</v>
      </c>
      <c r="F852" s="2">
        <v>1025</v>
      </c>
      <c r="G852" s="2" t="s">
        <v>113</v>
      </c>
      <c r="H852" s="2" t="s">
        <v>2226</v>
      </c>
      <c r="I852" s="2" t="s">
        <v>2545</v>
      </c>
      <c r="J852" s="2" t="s">
        <v>2992</v>
      </c>
      <c r="K852" s="2" t="s">
        <v>186</v>
      </c>
      <c r="L852" s="2" t="s">
        <v>3176</v>
      </c>
      <c r="M852" s="2" t="s">
        <v>118</v>
      </c>
      <c r="N852" s="2" t="s">
        <v>119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1909</v>
      </c>
      <c r="B853" s="2" t="s">
        <v>1904</v>
      </c>
      <c r="C853" s="2" t="s">
        <v>1905</v>
      </c>
      <c r="D853" s="2" t="s">
        <v>8</v>
      </c>
      <c r="E853" s="2" t="s">
        <v>1907</v>
      </c>
      <c r="F853" s="2">
        <v>1018</v>
      </c>
      <c r="G853" s="2" t="s">
        <v>1886</v>
      </c>
      <c r="H853" s="2" t="s">
        <v>1906</v>
      </c>
      <c r="I853" s="2" t="s">
        <v>1908</v>
      </c>
      <c r="J853" s="2" t="s">
        <v>2740</v>
      </c>
      <c r="K853" s="2" t="s">
        <v>12</v>
      </c>
      <c r="L853" s="2" t="s">
        <v>3176</v>
      </c>
      <c r="M853" s="2" t="s">
        <v>1887</v>
      </c>
      <c r="N853" s="2" t="s">
        <v>1888</v>
      </c>
      <c r="O853" s="2" t="str">
        <f>_xlfn.IFNA(+VLOOKUP(Maestro_Clientes[[#This Row],[Zona]],Tabla1[[#All],[Cruce Reportes]:[ENTREGA ]],2,0),Maestro_Clientes[[#This Row],[Zona]])</f>
        <v>Expreso</v>
      </c>
      <c r="P853" s="2" t="str">
        <f>+VLOOKUP(Maestro_Clientes[[#This Row],[Entrega]],Preparacion!A:B,2,0)</f>
        <v>Expreso</v>
      </c>
    </row>
    <row r="854" spans="1:17" customFormat="1" x14ac:dyDescent="0.25">
      <c r="A854" s="2" t="s">
        <v>1618</v>
      </c>
      <c r="B854" s="2" t="s">
        <v>1615</v>
      </c>
      <c r="C854" s="2" t="s">
        <v>1616</v>
      </c>
      <c r="D854" s="2" t="s">
        <v>8</v>
      </c>
      <c r="E854" s="2" t="s">
        <v>1617</v>
      </c>
      <c r="F854" s="2">
        <v>1001</v>
      </c>
      <c r="G854" s="2" t="s">
        <v>9</v>
      </c>
      <c r="H854" s="2" t="s">
        <v>622</v>
      </c>
      <c r="I854" s="2" t="s">
        <v>622</v>
      </c>
      <c r="J854" s="2" t="s">
        <v>2793</v>
      </c>
      <c r="K854" s="2" t="s">
        <v>12</v>
      </c>
      <c r="L854" s="2" t="s">
        <v>3023</v>
      </c>
      <c r="M854" s="2" t="s">
        <v>14</v>
      </c>
      <c r="N854" s="2" t="s">
        <v>15</v>
      </c>
      <c r="O854" s="2" t="str">
        <f>_xlfn.IFNA(+VLOOKUP(Maestro_Clientes[[#This Row],[Zona]],Tabla1[[#All],[Cruce Reportes]:[ENTREGA ]],2,0),Maestro_Clientes[[#This Row],[Zona]])</f>
        <v>LUNES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5255</v>
      </c>
      <c r="B855" s="2" t="s">
        <v>1615</v>
      </c>
      <c r="C855" s="2" t="s">
        <v>1616</v>
      </c>
      <c r="D855" s="2" t="s">
        <v>8</v>
      </c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 t="s">
        <v>3023</v>
      </c>
      <c r="P855" s="2" t="str">
        <f>+VLOOKUP(Maestro_Clientes[[#This Row],[Entrega]],Preparacion!A:B,2,0)</f>
        <v>JUEVES</v>
      </c>
      <c r="Q855" s="2"/>
    </row>
    <row r="856" spans="1:17" customFormat="1" x14ac:dyDescent="0.25">
      <c r="A856" s="2" t="s">
        <v>2254</v>
      </c>
      <c r="B856" s="2" t="s">
        <v>2251</v>
      </c>
      <c r="C856" s="2" t="s">
        <v>2252</v>
      </c>
      <c r="D856" s="2" t="s">
        <v>8</v>
      </c>
      <c r="E856" s="2" t="s">
        <v>2253</v>
      </c>
      <c r="F856" s="2">
        <v>1014</v>
      </c>
      <c r="G856" s="2" t="s">
        <v>59</v>
      </c>
      <c r="H856" s="2" t="s">
        <v>1162</v>
      </c>
      <c r="I856" s="2" t="s">
        <v>506</v>
      </c>
      <c r="J856" s="2" t="s">
        <v>2776</v>
      </c>
      <c r="K856" s="2" t="s">
        <v>12</v>
      </c>
      <c r="L856" s="2" t="s">
        <v>3176</v>
      </c>
      <c r="M856" s="2" t="s">
        <v>2706</v>
      </c>
      <c r="N856" s="2"/>
      <c r="O856" s="2" t="s">
        <v>3125</v>
      </c>
      <c r="P856" s="2" t="str">
        <f>+VLOOKUP(Maestro_Clientes[[#This Row],[Entrega]],Preparacion!A:B,2,0)</f>
        <v>MARTES</v>
      </c>
    </row>
    <row r="857" spans="1:17" customFormat="1" x14ac:dyDescent="0.25">
      <c r="A857" s="2" t="s">
        <v>3874</v>
      </c>
      <c r="B857" s="2" t="s">
        <v>3875</v>
      </c>
      <c r="C857" s="2" t="s">
        <v>3876</v>
      </c>
      <c r="D857" s="2" t="s">
        <v>8</v>
      </c>
      <c r="E857" s="2" t="s">
        <v>3877</v>
      </c>
      <c r="F857" s="2">
        <v>1025</v>
      </c>
      <c r="G857" s="2" t="s">
        <v>113</v>
      </c>
      <c r="H857" s="2" t="s">
        <v>3878</v>
      </c>
      <c r="I857" s="2" t="s">
        <v>1050</v>
      </c>
      <c r="J857" s="2" t="s">
        <v>2843</v>
      </c>
      <c r="K857" s="2" t="s">
        <v>531</v>
      </c>
      <c r="L857" s="2" t="s">
        <v>3176</v>
      </c>
      <c r="M857" s="2" t="s">
        <v>118</v>
      </c>
      <c r="N857" s="2" t="s">
        <v>119</v>
      </c>
      <c r="O857" s="2" t="s">
        <v>3176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298</v>
      </c>
      <c r="B858" s="2" t="s">
        <v>294</v>
      </c>
      <c r="C858" s="2" t="s">
        <v>295</v>
      </c>
      <c r="D858" s="2" t="s">
        <v>8</v>
      </c>
      <c r="E858" s="2" t="s">
        <v>296</v>
      </c>
      <c r="F858" s="2">
        <v>1014</v>
      </c>
      <c r="G858" s="2" t="s">
        <v>59</v>
      </c>
      <c r="H858" s="2" t="s">
        <v>195</v>
      </c>
      <c r="I858" s="2" t="s">
        <v>297</v>
      </c>
      <c r="J858" s="2" t="s">
        <v>2736</v>
      </c>
      <c r="K858" s="2" t="s">
        <v>197</v>
      </c>
      <c r="L858" s="2" t="s">
        <v>3176</v>
      </c>
      <c r="M858" s="2" t="s">
        <v>2706</v>
      </c>
      <c r="N858" s="2" t="s">
        <v>66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584</v>
      </c>
      <c r="B859" s="2" t="s">
        <v>580</v>
      </c>
      <c r="C859" s="2" t="s">
        <v>581</v>
      </c>
      <c r="D859" s="2" t="s">
        <v>8</v>
      </c>
      <c r="E859" s="2" t="s">
        <v>582</v>
      </c>
      <c r="F859" s="2">
        <v>1002</v>
      </c>
      <c r="G859" s="2" t="s">
        <v>34</v>
      </c>
      <c r="H859" s="2" t="s">
        <v>195</v>
      </c>
      <c r="I859" s="2" t="s">
        <v>583</v>
      </c>
      <c r="J859" s="2" t="s">
        <v>2789</v>
      </c>
      <c r="K859" s="2" t="s">
        <v>197</v>
      </c>
      <c r="L859" s="2" t="s">
        <v>3176</v>
      </c>
      <c r="M859" s="2" t="s">
        <v>39</v>
      </c>
      <c r="N859" s="2" t="s">
        <v>40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2108</v>
      </c>
      <c r="B860" s="2" t="s">
        <v>2104</v>
      </c>
      <c r="C860" s="2" t="s">
        <v>2105</v>
      </c>
      <c r="D860" s="2" t="s">
        <v>8</v>
      </c>
      <c r="E860" s="2" t="s">
        <v>2106</v>
      </c>
      <c r="F860" s="2">
        <v>1028</v>
      </c>
      <c r="G860" s="2" t="s">
        <v>81</v>
      </c>
      <c r="H860" s="2" t="s">
        <v>144</v>
      </c>
      <c r="I860" s="2" t="s">
        <v>2107</v>
      </c>
      <c r="J860" s="2" t="s">
        <v>2723</v>
      </c>
      <c r="K860" s="2" t="s">
        <v>147</v>
      </c>
      <c r="L860" s="2" t="s">
        <v>3176</v>
      </c>
      <c r="M860" s="2" t="s">
        <v>87</v>
      </c>
      <c r="N860" s="2" t="s">
        <v>88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1004</v>
      </c>
      <c r="B861" s="2" t="s">
        <v>1000</v>
      </c>
      <c r="C861" s="2" t="s">
        <v>1001</v>
      </c>
      <c r="D861" s="2" t="s">
        <v>8</v>
      </c>
      <c r="E861" s="2" t="s">
        <v>1002</v>
      </c>
      <c r="F861" s="2">
        <v>1002</v>
      </c>
      <c r="G861" s="2" t="s">
        <v>34</v>
      </c>
      <c r="H861" s="2" t="s">
        <v>184</v>
      </c>
      <c r="I861" s="2" t="s">
        <v>1003</v>
      </c>
      <c r="J861" s="2" t="s">
        <v>2761</v>
      </c>
      <c r="K861" s="2" t="s">
        <v>186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1651</v>
      </c>
      <c r="B862" s="2" t="s">
        <v>1648</v>
      </c>
      <c r="C862" s="2" t="s">
        <v>1649</v>
      </c>
      <c r="D862" s="2" t="s">
        <v>8</v>
      </c>
      <c r="E862" s="2" t="s">
        <v>1650</v>
      </c>
      <c r="F862" s="2">
        <v>1002</v>
      </c>
      <c r="G862" s="2" t="s">
        <v>34</v>
      </c>
      <c r="H862" s="2" t="s">
        <v>144</v>
      </c>
      <c r="I862" s="2" t="s">
        <v>175</v>
      </c>
      <c r="J862" s="2" t="s">
        <v>2728</v>
      </c>
      <c r="K862" s="2" t="s">
        <v>147</v>
      </c>
      <c r="L862" s="2" t="s">
        <v>3176</v>
      </c>
      <c r="M862" s="2" t="s">
        <v>39</v>
      </c>
      <c r="N862" s="2" t="s">
        <v>40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customFormat="1" x14ac:dyDescent="0.25">
      <c r="A863" s="2" t="s">
        <v>3868</v>
      </c>
      <c r="B863" s="2" t="s">
        <v>3869</v>
      </c>
      <c r="C863" s="2" t="s">
        <v>3870</v>
      </c>
      <c r="D863" s="2" t="s">
        <v>8</v>
      </c>
      <c r="E863" s="2" t="s">
        <v>3871</v>
      </c>
      <c r="F863" s="2">
        <v>1028</v>
      </c>
      <c r="G863" s="2" t="s">
        <v>81</v>
      </c>
      <c r="H863" s="2" t="s">
        <v>186</v>
      </c>
      <c r="I863" s="2" t="s">
        <v>3872</v>
      </c>
      <c r="J863" s="2" t="s">
        <v>3873</v>
      </c>
      <c r="K863" s="2" t="s">
        <v>186</v>
      </c>
      <c r="L863" s="2" t="s">
        <v>3176</v>
      </c>
      <c r="M863" s="2" t="s">
        <v>87</v>
      </c>
      <c r="N863" s="2" t="s">
        <v>88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</row>
    <row r="864" spans="1:17" x14ac:dyDescent="0.25">
      <c r="A864" s="2" t="s">
        <v>3846</v>
      </c>
      <c r="B864" s="2" t="s">
        <v>3847</v>
      </c>
      <c r="C864" s="2" t="s">
        <v>3848</v>
      </c>
      <c r="D864" s="2" t="s">
        <v>8</v>
      </c>
      <c r="E864" s="2" t="s">
        <v>3849</v>
      </c>
      <c r="F864" s="2">
        <v>1025</v>
      </c>
      <c r="G864" s="2" t="s">
        <v>113</v>
      </c>
      <c r="H864" s="2" t="s">
        <v>3850</v>
      </c>
      <c r="I864" s="2" t="s">
        <v>3851</v>
      </c>
      <c r="J864" s="2" t="s">
        <v>3852</v>
      </c>
      <c r="K864" s="2" t="s">
        <v>186</v>
      </c>
      <c r="L864" s="2" t="s">
        <v>3176</v>
      </c>
      <c r="M864" s="2" t="s">
        <v>118</v>
      </c>
      <c r="N864" s="2" t="s">
        <v>119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  <c r="Q864"/>
    </row>
    <row r="865" spans="1:17" customFormat="1" x14ac:dyDescent="0.25">
      <c r="A865" s="2" t="s">
        <v>4766</v>
      </c>
      <c r="B865" s="2" t="s">
        <v>4767</v>
      </c>
      <c r="C865" s="2" t="s">
        <v>4768</v>
      </c>
      <c r="D865" s="2" t="s">
        <v>8</v>
      </c>
      <c r="E865" s="2" t="s">
        <v>4769</v>
      </c>
      <c r="F865" s="2">
        <v>1034</v>
      </c>
      <c r="G865" s="2" t="s">
        <v>158</v>
      </c>
      <c r="H865" s="2" t="s">
        <v>1575</v>
      </c>
      <c r="I865" s="2" t="s">
        <v>1575</v>
      </c>
      <c r="J865" s="2" t="s">
        <v>2896</v>
      </c>
      <c r="K865" s="2" t="s">
        <v>12</v>
      </c>
      <c r="L865" s="2" t="s">
        <v>3009</v>
      </c>
      <c r="M865" s="2" t="s">
        <v>2706</v>
      </c>
      <c r="N865" s="2" t="s">
        <v>163</v>
      </c>
      <c r="O865" s="2" t="str">
        <f>_xlfn.IFNA(+VLOOKUP(Maestro_Clientes[[#This Row],[Zona]],Tabla1[[#All],[Cruce Reportes]:[ENTREGA ]],2,0),Maestro_Clientes[[#This Row],[Zona]])</f>
        <v>EXPRESO</v>
      </c>
      <c r="P865" s="2" t="str">
        <f>+VLOOKUP(Maestro_Clientes[[#This Row],[Entrega]],Preparacion!A:B,2,0)</f>
        <v>Expreso</v>
      </c>
    </row>
    <row r="866" spans="1:17" customFormat="1" x14ac:dyDescent="0.25">
      <c r="A866" s="2" t="s">
        <v>2655</v>
      </c>
      <c r="B866" s="2" t="s">
        <v>991</v>
      </c>
      <c r="C866" s="2" t="s">
        <v>992</v>
      </c>
      <c r="D866" s="2" t="s">
        <v>8</v>
      </c>
      <c r="E866" s="2" t="s">
        <v>2654</v>
      </c>
      <c r="F866" s="2">
        <v>1025</v>
      </c>
      <c r="G866" s="2" t="s">
        <v>113</v>
      </c>
      <c r="H866" s="2" t="s">
        <v>2653</v>
      </c>
      <c r="I866" s="2" t="s">
        <v>62</v>
      </c>
      <c r="J866" s="2" t="s">
        <v>3000</v>
      </c>
      <c r="K866" s="2" t="s">
        <v>63</v>
      </c>
      <c r="L866" s="2" t="s">
        <v>3023</v>
      </c>
      <c r="M866" s="2" t="s">
        <v>118</v>
      </c>
      <c r="N866" s="2" t="s">
        <v>119</v>
      </c>
      <c r="O866" s="2" t="str">
        <f>_xlfn.IFNA(+VLOOKUP(Maestro_Clientes[[#This Row],[Zona]],Tabla1[[#All],[Cruce Reportes]:[ENTREGA ]],2,0),Maestro_Clientes[[#This Row],[Zona]])</f>
        <v>LUNES</v>
      </c>
      <c r="P866" s="2" t="str">
        <f>+VLOOKUP(Maestro_Clientes[[#This Row],[Entrega]],Preparacion!A:B,2,0)</f>
        <v>JUEVES</v>
      </c>
      <c r="Q866" s="2"/>
    </row>
    <row r="867" spans="1:17" customFormat="1" x14ac:dyDescent="0.25">
      <c r="A867" s="2" t="s">
        <v>2473</v>
      </c>
      <c r="B867" s="2" t="s">
        <v>2470</v>
      </c>
      <c r="C867" s="2" t="s">
        <v>2471</v>
      </c>
      <c r="D867" s="2" t="s">
        <v>8</v>
      </c>
      <c r="E867" s="2" t="s">
        <v>2472</v>
      </c>
      <c r="F867" s="2">
        <v>1001</v>
      </c>
      <c r="G867" s="2" t="s">
        <v>9</v>
      </c>
      <c r="H867" s="2" t="s">
        <v>960</v>
      </c>
      <c r="I867" s="2" t="s">
        <v>960</v>
      </c>
      <c r="J867" s="2" t="s">
        <v>2702</v>
      </c>
      <c r="K867" s="2" t="s">
        <v>12</v>
      </c>
      <c r="L867" s="2" t="s">
        <v>20</v>
      </c>
      <c r="M867" s="2" t="s">
        <v>14</v>
      </c>
      <c r="N867" s="2" t="s">
        <v>15</v>
      </c>
      <c r="O867" s="2" t="str">
        <f>_xlfn.IFNA(+VLOOKUP(Maestro_Clientes[[#This Row],[Zona]],Tabla1[[#All],[Cruce Reportes]:[ENTREGA ]],2,0),Maestro_Clientes[[#This Row],[Zona]])</f>
        <v>MARTES</v>
      </c>
      <c r="P867" s="2" t="str">
        <f>+VLOOKUP(Maestro_Clientes[[#This Row],[Entrega]],Preparacion!A:B,2,0)</f>
        <v>VIERNES</v>
      </c>
    </row>
    <row r="868" spans="1:17" x14ac:dyDescent="0.25">
      <c r="A868" s="2" t="s">
        <v>3864</v>
      </c>
      <c r="B868" s="2" t="s">
        <v>3865</v>
      </c>
      <c r="C868" s="2" t="s">
        <v>3866</v>
      </c>
      <c r="D868" s="2" t="s">
        <v>8</v>
      </c>
      <c r="E868" s="2" t="s">
        <v>3867</v>
      </c>
      <c r="F868" s="2">
        <v>1034</v>
      </c>
      <c r="G868" s="2" t="s">
        <v>158</v>
      </c>
      <c r="H868" s="2" t="s">
        <v>166</v>
      </c>
      <c r="I868" s="2" t="s">
        <v>3522</v>
      </c>
      <c r="J868" s="2" t="s">
        <v>3523</v>
      </c>
      <c r="K868" s="2" t="s">
        <v>169</v>
      </c>
      <c r="L868" s="2" t="s">
        <v>3176</v>
      </c>
      <c r="M868" s="2" t="s">
        <v>2706</v>
      </c>
      <c r="N868" s="2" t="s">
        <v>163</v>
      </c>
      <c r="O868" s="2" t="str">
        <f>_xlfn.IFNA(+VLOOKUP(Maestro_Clientes[[#This Row],[Zona]],Tabla1[[#All],[Cruce Reportes]:[ENTREGA ]],2,0),Maestro_Clientes[[#This Row],[Zona]])</f>
        <v>Expreso</v>
      </c>
      <c r="P868" s="2" t="str">
        <f>+VLOOKUP(Maestro_Clientes[[#This Row],[Entrega]],Preparacion!A:B,2,0)</f>
        <v>Expreso</v>
      </c>
      <c r="Q868"/>
    </row>
    <row r="869" spans="1:17" x14ac:dyDescent="0.25">
      <c r="A869" s="2" t="s">
        <v>4952</v>
      </c>
      <c r="B869" s="2" t="s">
        <v>4933</v>
      </c>
      <c r="C869" s="2" t="s">
        <v>4968</v>
      </c>
      <c r="O869" s="2" t="s">
        <v>3176</v>
      </c>
      <c r="P869" s="2" t="str">
        <f>+VLOOKUP(Maestro_Clientes[[#This Row],[Entrega]],Preparacion!A:B,2,0)</f>
        <v>Expreso</v>
      </c>
      <c r="Q869"/>
    </row>
    <row r="870" spans="1:17" customFormat="1" x14ac:dyDescent="0.25">
      <c r="A870" s="2" t="s">
        <v>833</v>
      </c>
      <c r="B870" s="2" t="s">
        <v>829</v>
      </c>
      <c r="C870" s="2" t="s">
        <v>830</v>
      </c>
      <c r="D870" s="2" t="s">
        <v>8</v>
      </c>
      <c r="E870" s="2" t="s">
        <v>832</v>
      </c>
      <c r="F870" s="2">
        <v>1002</v>
      </c>
      <c r="G870" s="2" t="s">
        <v>34</v>
      </c>
      <c r="H870" s="2" t="s">
        <v>831</v>
      </c>
      <c r="I870" s="2" t="s">
        <v>175</v>
      </c>
      <c r="J870" s="2" t="s">
        <v>2728</v>
      </c>
      <c r="K870" s="2" t="s">
        <v>147</v>
      </c>
      <c r="L870" s="2" t="s">
        <v>3176</v>
      </c>
      <c r="M870" s="2" t="s">
        <v>39</v>
      </c>
      <c r="N870" s="2" t="s">
        <v>40</v>
      </c>
      <c r="O870" s="2" t="str">
        <f>_xlfn.IFNA(+VLOOKUP(Maestro_Clientes[[#This Row],[Zona]],Tabla1[[#All],[Cruce Reportes]:[ENTREGA ]],2,0),Maestro_Clientes[[#This Row],[Zona]])</f>
        <v>Expreso</v>
      </c>
      <c r="P870" s="2" t="str">
        <f>+VLOOKUP(Maestro_Clientes[[#This Row],[Entrega]],Preparacion!A:B,2,0)</f>
        <v>Expreso</v>
      </c>
    </row>
    <row r="871" spans="1:17" customFormat="1" x14ac:dyDescent="0.25">
      <c r="A871" s="2" t="s">
        <v>995</v>
      </c>
      <c r="B871" s="2" t="s">
        <v>991</v>
      </c>
      <c r="C871" s="2" t="s">
        <v>992</v>
      </c>
      <c r="D871" s="2" t="s">
        <v>8</v>
      </c>
      <c r="E871" s="2" t="s">
        <v>994</v>
      </c>
      <c r="F871" s="2">
        <v>1001</v>
      </c>
      <c r="G871" s="2" t="s">
        <v>9</v>
      </c>
      <c r="H871" s="2" t="s">
        <v>993</v>
      </c>
      <c r="I871" s="2" t="s">
        <v>62</v>
      </c>
      <c r="J871" s="2" t="s">
        <v>2836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1072</v>
      </c>
      <c r="B872" s="2" t="s">
        <v>1069</v>
      </c>
      <c r="C872" s="2" t="s">
        <v>1070</v>
      </c>
      <c r="D872" s="2" t="s">
        <v>8</v>
      </c>
      <c r="E872" s="2" t="s">
        <v>1071</v>
      </c>
      <c r="F872" s="2">
        <v>1001</v>
      </c>
      <c r="G872" s="2" t="s">
        <v>9</v>
      </c>
      <c r="H872" s="2" t="s">
        <v>954</v>
      </c>
      <c r="I872" s="2" t="s">
        <v>62</v>
      </c>
      <c r="J872" s="2" t="s">
        <v>2833</v>
      </c>
      <c r="K872" s="2" t="s">
        <v>63</v>
      </c>
      <c r="L872" s="2" t="s">
        <v>3023</v>
      </c>
      <c r="M872" s="2" t="s">
        <v>14</v>
      </c>
      <c r="N872" s="2" t="s">
        <v>15</v>
      </c>
      <c r="O872" s="2" t="str">
        <f>_xlfn.IFNA(+VLOOKUP(Maestro_Clientes[[#This Row],[Zona]],Tabla1[[#All],[Cruce Reportes]:[ENTREGA ]],2,0),Maestro_Clientes[[#This Row],[Zona]])</f>
        <v>LUNES</v>
      </c>
      <c r="P872" s="2" t="str">
        <f>+VLOOKUP(Maestro_Clientes[[#This Row],[Entrega]],Preparacion!A:B,2,0)</f>
        <v>JUEVES</v>
      </c>
      <c r="Q872" s="2"/>
    </row>
    <row r="873" spans="1:17" customFormat="1" x14ac:dyDescent="0.25">
      <c r="A873" s="2" t="s">
        <v>5165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  <c r="Q873" s="2"/>
    </row>
    <row r="874" spans="1:17" customFormat="1" x14ac:dyDescent="0.25">
      <c r="A874" s="2" t="s">
        <v>4946</v>
      </c>
      <c r="B874" s="2" t="s">
        <v>4929</v>
      </c>
      <c r="C874" s="2" t="s">
        <v>4964</v>
      </c>
      <c r="D874" s="2" t="s">
        <v>8</v>
      </c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 t="s">
        <v>3176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4775</v>
      </c>
      <c r="B875" s="2" t="s">
        <v>4776</v>
      </c>
      <c r="C875" s="2" t="s">
        <v>4777</v>
      </c>
      <c r="D875" s="2" t="s">
        <v>8</v>
      </c>
      <c r="E875" s="2" t="s">
        <v>4778</v>
      </c>
      <c r="F875" s="2">
        <v>1025</v>
      </c>
      <c r="G875" s="2" t="s">
        <v>113</v>
      </c>
      <c r="H875" s="2" t="s">
        <v>173</v>
      </c>
      <c r="I875" s="2" t="s">
        <v>4779</v>
      </c>
      <c r="J875" s="2" t="s">
        <v>4780</v>
      </c>
      <c r="K875" s="2" t="s">
        <v>126</v>
      </c>
      <c r="L875" s="2" t="s">
        <v>3009</v>
      </c>
      <c r="M875" s="2" t="s">
        <v>118</v>
      </c>
      <c r="N875" s="2" t="s">
        <v>119</v>
      </c>
      <c r="O875" s="2" t="str">
        <f>_xlfn.IFNA(+VLOOKUP(Maestro_Clientes[[#This Row],[Zona]],Tabla1[[#All],[Cruce Reportes]:[ENTREGA ]],2,0),Maestro_Clientes[[#This Row],[Zona]])</f>
        <v>EXPRESO</v>
      </c>
      <c r="P875" s="2" t="str">
        <f>+VLOOKUP(Maestro_Clientes[[#This Row],[Entrega]],Preparacion!A:B,2,0)</f>
        <v>Expreso</v>
      </c>
    </row>
    <row r="876" spans="1:17" customFormat="1" x14ac:dyDescent="0.25">
      <c r="A876" s="2" t="s">
        <v>1039</v>
      </c>
      <c r="B876" s="2" t="s">
        <v>1036</v>
      </c>
      <c r="C876" s="2" t="s">
        <v>1037</v>
      </c>
      <c r="D876" s="2" t="s">
        <v>8</v>
      </c>
      <c r="E876" s="2" t="s">
        <v>1038</v>
      </c>
      <c r="F876" s="2">
        <v>1001</v>
      </c>
      <c r="G876" s="2" t="s">
        <v>9</v>
      </c>
      <c r="H876" s="2" t="s">
        <v>578</v>
      </c>
      <c r="I876" s="2" t="s">
        <v>578</v>
      </c>
      <c r="J876" s="2" t="s">
        <v>2788</v>
      </c>
      <c r="K876" s="2" t="s">
        <v>12</v>
      </c>
      <c r="L876" s="2" t="s">
        <v>578</v>
      </c>
      <c r="M876" s="2" t="s">
        <v>14</v>
      </c>
      <c r="N876" s="2" t="s">
        <v>15</v>
      </c>
      <c r="O876" s="2" t="s">
        <v>3158</v>
      </c>
      <c r="P876" s="2" t="str">
        <f>+VLOOKUP(Maestro_Clientes[[#This Row],[Entrega]],Preparacion!A:B,2,0)</f>
        <v>MIERCOLES</v>
      </c>
    </row>
    <row r="877" spans="1:17" customFormat="1" x14ac:dyDescent="0.25">
      <c r="A877" s="2" t="s">
        <v>1096</v>
      </c>
      <c r="B877" s="2" t="s">
        <v>1093</v>
      </c>
      <c r="C877" s="2" t="s">
        <v>1094</v>
      </c>
      <c r="D877" s="2" t="s">
        <v>8</v>
      </c>
      <c r="E877" s="2" t="s">
        <v>1095</v>
      </c>
      <c r="F877" s="2">
        <v>1014</v>
      </c>
      <c r="G877" s="2" t="s">
        <v>59</v>
      </c>
      <c r="H877" s="2" t="s">
        <v>623</v>
      </c>
      <c r="I877" s="2" t="s">
        <v>623</v>
      </c>
      <c r="J877" s="2" t="s">
        <v>2846</v>
      </c>
      <c r="K877" s="2" t="s">
        <v>12</v>
      </c>
      <c r="L877" s="2" t="s">
        <v>623</v>
      </c>
      <c r="M877" s="2" t="s">
        <v>2706</v>
      </c>
      <c r="N877" s="2" t="s">
        <v>66</v>
      </c>
      <c r="O877" s="2" t="str">
        <f>_xlfn.IFNA(+VLOOKUP(Maestro_Clientes[[#This Row],[Zona]],Tabla1[[#All],[Cruce Reportes]:[ENTREGA ]],2,0),Maestro_Clientes[[#This Row],[Zona]])</f>
        <v>LUNES</v>
      </c>
      <c r="P877" s="2" t="str">
        <f>+VLOOKUP(Maestro_Clientes[[#This Row],[Entrega]],Preparacion!A:B,2,0)</f>
        <v>JUEVES</v>
      </c>
      <c r="Q877" s="2"/>
    </row>
    <row r="878" spans="1:17" customFormat="1" x14ac:dyDescent="0.25">
      <c r="A878" s="2" t="s">
        <v>1055</v>
      </c>
      <c r="B878" s="2" t="s">
        <v>1052</v>
      </c>
      <c r="C878" s="2" t="s">
        <v>1053</v>
      </c>
      <c r="D878" s="2" t="s">
        <v>8</v>
      </c>
      <c r="E878" s="2" t="s">
        <v>1054</v>
      </c>
      <c r="F878" s="2">
        <v>1002</v>
      </c>
      <c r="G878" s="2" t="s">
        <v>34</v>
      </c>
      <c r="H878" s="2" t="s">
        <v>506</v>
      </c>
      <c r="I878" s="2" t="s">
        <v>506</v>
      </c>
      <c r="J878" s="2" t="s">
        <v>2776</v>
      </c>
      <c r="K878" s="2" t="s">
        <v>12</v>
      </c>
      <c r="L878" s="2" t="s">
        <v>3176</v>
      </c>
      <c r="M878" s="2" t="s">
        <v>39</v>
      </c>
      <c r="N878" s="2" t="s">
        <v>40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3879</v>
      </c>
      <c r="B879" s="2" t="s">
        <v>3880</v>
      </c>
      <c r="C879" s="2" t="s">
        <v>3881</v>
      </c>
      <c r="D879" s="2" t="s">
        <v>8</v>
      </c>
      <c r="E879" s="2" t="s">
        <v>3882</v>
      </c>
      <c r="F879" s="2">
        <v>1028</v>
      </c>
      <c r="G879" s="2" t="s">
        <v>81</v>
      </c>
      <c r="H879" s="2" t="s">
        <v>2279</v>
      </c>
      <c r="I879" s="2" t="s">
        <v>3883</v>
      </c>
      <c r="J879" s="2" t="s">
        <v>3884</v>
      </c>
      <c r="K879" s="2" t="s">
        <v>243</v>
      </c>
      <c r="L879" s="2" t="s">
        <v>3176</v>
      </c>
      <c r="M879" s="2" t="s">
        <v>87</v>
      </c>
      <c r="N879" s="2" t="s">
        <v>88</v>
      </c>
      <c r="O879" s="2" t="str">
        <f>_xlfn.IFNA(+VLOOKUP(Maestro_Clientes[[#This Row],[Zona]],Tabla1[[#All],[Cruce Reportes]:[ENTREGA ]],2,0),Maestro_Clientes[[#This Row],[Zona]])</f>
        <v>Expreso</v>
      </c>
      <c r="P879" s="2" t="str">
        <f>+VLOOKUP(Maestro_Clientes[[#This Row],[Entrega]],Preparacion!A:B,2,0)</f>
        <v>Expreso</v>
      </c>
    </row>
    <row r="880" spans="1:17" customFormat="1" x14ac:dyDescent="0.25">
      <c r="A880" s="2" t="s">
        <v>5234</v>
      </c>
      <c r="B880" s="2" t="s">
        <v>5232</v>
      </c>
      <c r="C880" s="2" t="s">
        <v>5233</v>
      </c>
      <c r="D880" s="2" t="s">
        <v>8</v>
      </c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 t="s">
        <v>3176</v>
      </c>
      <c r="P880" s="2" t="str">
        <f>+VLOOKUP(Maestro_Clientes[[#This Row],[Entrega]],Preparacion!A:B,2,0)</f>
        <v>Expreso</v>
      </c>
      <c r="Q880" s="2"/>
    </row>
    <row r="881" spans="1:17" customFormat="1" x14ac:dyDescent="0.25">
      <c r="A881" s="2" t="s">
        <v>1313</v>
      </c>
      <c r="B881" s="2" t="s">
        <v>1310</v>
      </c>
      <c r="C881" s="2" t="s">
        <v>1311</v>
      </c>
      <c r="D881" s="2" t="s">
        <v>8</v>
      </c>
      <c r="E881" s="2" t="s">
        <v>1312</v>
      </c>
      <c r="F881" s="2">
        <v>1034</v>
      </c>
      <c r="G881" s="2" t="s">
        <v>158</v>
      </c>
      <c r="H881" s="2" t="s">
        <v>207</v>
      </c>
      <c r="I881" s="2" t="s">
        <v>209</v>
      </c>
      <c r="J881" s="2" t="s">
        <v>2733</v>
      </c>
      <c r="K881" s="2" t="s">
        <v>12</v>
      </c>
      <c r="L881" s="2" t="s">
        <v>3176</v>
      </c>
      <c r="M881" s="2" t="s">
        <v>2706</v>
      </c>
      <c r="N881" s="2" t="s">
        <v>163</v>
      </c>
      <c r="O881" s="2" t="str">
        <f>_xlfn.IFNA(+VLOOKUP(Maestro_Clientes[[#This Row],[Zona]],Tabla1[[#All],[Cruce Reportes]:[ENTREGA ]],2,0),Maestro_Clientes[[#This Row],[Zona]])</f>
        <v>Expreso</v>
      </c>
      <c r="P881" s="2" t="str">
        <f>+VLOOKUP(Maestro_Clientes[[#This Row],[Entrega]],Preparacion!A:B,2,0)</f>
        <v>Expreso</v>
      </c>
    </row>
    <row r="882" spans="1:17" customFormat="1" x14ac:dyDescent="0.25">
      <c r="A882" s="2" t="s">
        <v>4770</v>
      </c>
      <c r="B882" s="2" t="s">
        <v>4771</v>
      </c>
      <c r="C882" s="2" t="s">
        <v>4772</v>
      </c>
      <c r="D882" s="2" t="s">
        <v>8</v>
      </c>
      <c r="E882" s="2" t="s">
        <v>4773</v>
      </c>
      <c r="F882" s="2">
        <v>1014</v>
      </c>
      <c r="G882" s="2" t="s">
        <v>59</v>
      </c>
      <c r="H882" s="2" t="s">
        <v>3174</v>
      </c>
      <c r="I882" s="2" t="s">
        <v>3174</v>
      </c>
      <c r="J882" s="2" t="s">
        <v>4774</v>
      </c>
      <c r="K882" s="2" t="s">
        <v>12</v>
      </c>
      <c r="L882" s="2" t="s">
        <v>3023</v>
      </c>
      <c r="M882" s="2" t="s">
        <v>2706</v>
      </c>
      <c r="N882" s="2" t="s">
        <v>66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957</v>
      </c>
      <c r="B883" s="2" t="s">
        <v>952</v>
      </c>
      <c r="C883" s="2" t="s">
        <v>953</v>
      </c>
      <c r="D883" s="2" t="s">
        <v>8</v>
      </c>
      <c r="E883" s="2" t="s">
        <v>955</v>
      </c>
      <c r="F883" s="2">
        <v>1001</v>
      </c>
      <c r="G883" s="2" t="s">
        <v>9</v>
      </c>
      <c r="H883" s="2" t="s">
        <v>954</v>
      </c>
      <c r="I883" s="2" t="s">
        <v>62</v>
      </c>
      <c r="J883" s="2" t="s">
        <v>2832</v>
      </c>
      <c r="K883" s="2" t="s">
        <v>63</v>
      </c>
      <c r="L883" s="2" t="s">
        <v>3023</v>
      </c>
      <c r="M883" s="2" t="s">
        <v>14</v>
      </c>
      <c r="N883" s="2" t="s">
        <v>15</v>
      </c>
      <c r="O883" s="2" t="str">
        <f>_xlfn.IFNA(+VLOOKUP(Maestro_Clientes[[#This Row],[Zona]],Tabla1[[#All],[Cruce Reportes]:[ENTREGA ]],2,0),Maestro_Clientes[[#This Row],[Zona]])</f>
        <v>LUNES</v>
      </c>
      <c r="P883" s="2" t="str">
        <f>+VLOOKUP(Maestro_Clientes[[#This Row],[Entrega]],Preparacion!A:B,2,0)</f>
        <v>JUEVES</v>
      </c>
      <c r="Q883" s="2"/>
    </row>
    <row r="884" spans="1:17" customFormat="1" x14ac:dyDescent="0.25">
      <c r="A884" s="2" t="s">
        <v>5024</v>
      </c>
      <c r="B884" s="2" t="s">
        <v>5023</v>
      </c>
      <c r="C884" s="2" t="s">
        <v>5025</v>
      </c>
      <c r="D884" s="2" t="s">
        <v>8</v>
      </c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 t="s">
        <v>3068</v>
      </c>
      <c r="P884" s="2" t="str">
        <f>+VLOOKUP(Maestro_Clientes[[#This Row],[Entrega]],Preparacion!A:B,2,0)</f>
        <v>VIERNES</v>
      </c>
    </row>
    <row r="885" spans="1:17" x14ac:dyDescent="0.25">
      <c r="A885" s="2" t="s">
        <v>2370</v>
      </c>
      <c r="B885" s="2" t="s">
        <v>2366</v>
      </c>
      <c r="C885" s="2" t="s">
        <v>2367</v>
      </c>
      <c r="D885" s="2" t="s">
        <v>8</v>
      </c>
      <c r="E885" s="2" t="s">
        <v>2368</v>
      </c>
      <c r="F885" s="2">
        <v>1014</v>
      </c>
      <c r="G885" s="2" t="s">
        <v>59</v>
      </c>
      <c r="H885" s="2" t="s">
        <v>179</v>
      </c>
      <c r="I885" s="2" t="s">
        <v>2369</v>
      </c>
      <c r="J885" s="2" t="s">
        <v>2973</v>
      </c>
      <c r="K885" s="2" t="s">
        <v>140</v>
      </c>
      <c r="L885" s="2" t="s">
        <v>3176</v>
      </c>
      <c r="M885" s="2" t="s">
        <v>2706</v>
      </c>
      <c r="N885" s="2" t="s">
        <v>66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  <c r="Q885"/>
    </row>
    <row r="886" spans="1:17" customFormat="1" x14ac:dyDescent="0.25">
      <c r="A886" s="2" t="s">
        <v>2629</v>
      </c>
      <c r="B886" s="2" t="s">
        <v>2626</v>
      </c>
      <c r="C886" s="2" t="s">
        <v>2627</v>
      </c>
      <c r="D886" s="2" t="s">
        <v>8</v>
      </c>
      <c r="E886" s="2" t="s">
        <v>2628</v>
      </c>
      <c r="F886" s="2">
        <v>1025</v>
      </c>
      <c r="G886" s="2" t="s">
        <v>113</v>
      </c>
      <c r="H886" s="2" t="s">
        <v>184</v>
      </c>
      <c r="I886" s="2" t="s">
        <v>4189</v>
      </c>
      <c r="J886" s="2" t="s">
        <v>2998</v>
      </c>
      <c r="K886" s="2" t="s">
        <v>186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</row>
    <row r="887" spans="1:17" x14ac:dyDescent="0.25">
      <c r="A887" s="2" t="s">
        <v>1914</v>
      </c>
      <c r="B887" s="2" t="s">
        <v>1910</v>
      </c>
      <c r="C887" s="2" t="s">
        <v>1911</v>
      </c>
      <c r="D887" s="2" t="s">
        <v>8</v>
      </c>
      <c r="E887" s="2" t="s">
        <v>1912</v>
      </c>
      <c r="F887" s="2">
        <v>1025</v>
      </c>
      <c r="G887" s="2" t="s">
        <v>113</v>
      </c>
      <c r="H887" s="2" t="s">
        <v>1127</v>
      </c>
      <c r="I887" s="2" t="s">
        <v>1913</v>
      </c>
      <c r="J887" s="2" t="s">
        <v>2929</v>
      </c>
      <c r="K887" s="2" t="s">
        <v>1129</v>
      </c>
      <c r="L887" s="2" t="s">
        <v>3176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Expreso</v>
      </c>
      <c r="P887" s="2" t="str">
        <f>+VLOOKUP(Maestro_Clientes[[#This Row],[Entrega]],Preparacion!A:B,2,0)</f>
        <v>Expreso</v>
      </c>
      <c r="Q887"/>
    </row>
    <row r="888" spans="1:17" customFormat="1" x14ac:dyDescent="0.25">
      <c r="A888" s="2" t="s">
        <v>3187</v>
      </c>
      <c r="B888" s="2" t="s">
        <v>3188</v>
      </c>
      <c r="C888" s="2" t="s">
        <v>3189</v>
      </c>
      <c r="D888" s="2" t="s">
        <v>8</v>
      </c>
      <c r="E888" s="2" t="s">
        <v>3190</v>
      </c>
      <c r="F888" s="2">
        <v>1025</v>
      </c>
      <c r="G888" s="2" t="s">
        <v>113</v>
      </c>
      <c r="H888" s="2" t="s">
        <v>1042</v>
      </c>
      <c r="I888" s="2" t="s">
        <v>62</v>
      </c>
      <c r="J888" s="2" t="s">
        <v>3191</v>
      </c>
      <c r="K888" s="2" t="s">
        <v>63</v>
      </c>
      <c r="L888" s="2" t="s">
        <v>3068</v>
      </c>
      <c r="M888" s="2" t="s">
        <v>118</v>
      </c>
      <c r="N888" s="2" t="s">
        <v>119</v>
      </c>
      <c r="O888" s="2" t="str">
        <f>_xlfn.IFNA(+VLOOKUP(Maestro_Clientes[[#This Row],[Zona]],Tabla1[[#All],[Cruce Reportes]:[ENTREGA ]],2,0),Maestro_Clientes[[#This Row],[Zona]])</f>
        <v>MARTES</v>
      </c>
      <c r="P888" s="2" t="str">
        <f>+VLOOKUP(Maestro_Clientes[[#This Row],[Entrega]],Preparacion!A:B,2,0)</f>
        <v>VIERNES</v>
      </c>
    </row>
    <row r="889" spans="1:17" customFormat="1" x14ac:dyDescent="0.25">
      <c r="A889" s="2" t="s">
        <v>4781</v>
      </c>
      <c r="B889" s="2" t="s">
        <v>4782</v>
      </c>
      <c r="C889" s="2" t="s">
        <v>4783</v>
      </c>
      <c r="D889" s="2" t="s">
        <v>8</v>
      </c>
      <c r="E889" s="2" t="s">
        <v>4784</v>
      </c>
      <c r="F889" s="2">
        <v>1002</v>
      </c>
      <c r="G889" s="2" t="s">
        <v>34</v>
      </c>
      <c r="H889" s="2" t="s">
        <v>184</v>
      </c>
      <c r="I889" s="2" t="s">
        <v>4785</v>
      </c>
      <c r="J889" s="2" t="s">
        <v>4786</v>
      </c>
      <c r="K889" s="2" t="s">
        <v>186</v>
      </c>
      <c r="L889" s="2" t="s">
        <v>3009</v>
      </c>
      <c r="M889" s="2" t="s">
        <v>39</v>
      </c>
      <c r="N889" s="2" t="s">
        <v>40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customFormat="1" x14ac:dyDescent="0.25">
      <c r="A890" s="2" t="s">
        <v>781</v>
      </c>
      <c r="B890" s="2" t="s">
        <v>777</v>
      </c>
      <c r="C890" s="2" t="s">
        <v>778</v>
      </c>
      <c r="D890" s="2" t="s">
        <v>8</v>
      </c>
      <c r="E890" s="2" t="s">
        <v>779</v>
      </c>
      <c r="F890" s="2">
        <v>1034</v>
      </c>
      <c r="G890" s="2" t="s">
        <v>158</v>
      </c>
      <c r="H890" s="2" t="s">
        <v>144</v>
      </c>
      <c r="I890" s="2" t="s">
        <v>780</v>
      </c>
      <c r="J890" s="2" t="s">
        <v>2812</v>
      </c>
      <c r="K890" s="2" t="s">
        <v>147</v>
      </c>
      <c r="L890" s="2" t="s">
        <v>3176</v>
      </c>
      <c r="M890" s="2" t="s">
        <v>2706</v>
      </c>
      <c r="N890" s="2" t="s">
        <v>163</v>
      </c>
      <c r="O890" s="2" t="str">
        <f>_xlfn.IFNA(+VLOOKUP(Maestro_Clientes[[#This Row],[Zona]],Tabla1[[#All],[Cruce Reportes]:[ENTREGA ]],2,0),Maestro_Clientes[[#This Row],[Zona]])</f>
        <v>Expreso</v>
      </c>
      <c r="P890" s="2" t="str">
        <f>+VLOOKUP(Maestro_Clientes[[#This Row],[Entrega]],Preparacion!A:B,2,0)</f>
        <v>Expreso</v>
      </c>
    </row>
    <row r="891" spans="1:17" x14ac:dyDescent="0.25">
      <c r="A891" s="2" t="s">
        <v>5189</v>
      </c>
      <c r="B891" s="2" t="s">
        <v>5188</v>
      </c>
      <c r="C891" s="2" t="s">
        <v>5190</v>
      </c>
      <c r="D891" s="2" t="s">
        <v>8</v>
      </c>
      <c r="O891" s="2" t="s">
        <v>3176</v>
      </c>
      <c r="P891" s="2" t="str">
        <f>+VLOOKUP(Maestro_Clientes[[#This Row],[Entrega]],Preparacion!A:B,2,0)</f>
        <v>Expreso</v>
      </c>
      <c r="Q891"/>
    </row>
    <row r="892" spans="1:17" x14ac:dyDescent="0.25">
      <c r="A892" s="2" t="s">
        <v>2281</v>
      </c>
      <c r="B892" s="2" t="s">
        <v>2277</v>
      </c>
      <c r="C892" s="2" t="s">
        <v>2278</v>
      </c>
      <c r="D892" s="2" t="s">
        <v>8</v>
      </c>
      <c r="E892" s="2" t="s">
        <v>2280</v>
      </c>
      <c r="F892" s="2">
        <v>1036</v>
      </c>
      <c r="G892" s="2" t="s">
        <v>834</v>
      </c>
      <c r="H892" s="2" t="s">
        <v>2279</v>
      </c>
      <c r="I892" s="2" t="s">
        <v>243</v>
      </c>
      <c r="J892" s="2" t="s">
        <v>2946</v>
      </c>
      <c r="K892" s="2" t="s">
        <v>243</v>
      </c>
      <c r="L892" s="2" t="s">
        <v>3176</v>
      </c>
      <c r="M892" s="2" t="s">
        <v>839</v>
      </c>
      <c r="N892" s="2" t="s">
        <v>840</v>
      </c>
      <c r="O892" s="2" t="str">
        <f>_xlfn.IFNA(+VLOOKUP(Maestro_Clientes[[#This Row],[Zona]],Tabla1[[#All],[Cruce Reportes]:[ENTREGA ]],2,0),Maestro_Clientes[[#This Row],[Zona]])</f>
        <v>Expreso</v>
      </c>
      <c r="P892" s="2" t="str">
        <f>+VLOOKUP(Maestro_Clientes[[#This Row],[Entrega]],Preparacion!A:B,2,0)</f>
        <v>Expreso</v>
      </c>
      <c r="Q892"/>
    </row>
    <row r="893" spans="1:17" customFormat="1" x14ac:dyDescent="0.25">
      <c r="A893" s="2" t="s">
        <v>2500</v>
      </c>
      <c r="B893" s="2" t="s">
        <v>2497</v>
      </c>
      <c r="C893" s="2" t="s">
        <v>2498</v>
      </c>
      <c r="D893" s="2" t="s">
        <v>8</v>
      </c>
      <c r="E893" s="2" t="s">
        <v>2499</v>
      </c>
      <c r="F893" s="2">
        <v>1025</v>
      </c>
      <c r="G893" s="2" t="s">
        <v>113</v>
      </c>
      <c r="H893" s="2" t="s">
        <v>1042</v>
      </c>
      <c r="I893" s="2" t="s">
        <v>62</v>
      </c>
      <c r="J893" s="2" t="s">
        <v>2985</v>
      </c>
      <c r="K893" s="2" t="s">
        <v>63</v>
      </c>
      <c r="L893" s="2" t="s">
        <v>3068</v>
      </c>
      <c r="M893" s="2" t="s">
        <v>118</v>
      </c>
      <c r="N893" s="2" t="s">
        <v>119</v>
      </c>
      <c r="O893" s="2" t="str">
        <f>_xlfn.IFNA(+VLOOKUP(Maestro_Clientes[[#This Row],[Zona]],Tabla1[[#All],[Cruce Reportes]:[ENTREGA ]],2,0),Maestro_Clientes[[#This Row],[Zona]])</f>
        <v>MARTES</v>
      </c>
      <c r="P893" s="2" t="str">
        <f>+VLOOKUP(Maestro_Clientes[[#This Row],[Entrega]],Preparacion!A:B,2,0)</f>
        <v>VIERNES</v>
      </c>
    </row>
    <row r="894" spans="1:17" customFormat="1" x14ac:dyDescent="0.25">
      <c r="A894" s="2" t="s">
        <v>1587</v>
      </c>
      <c r="B894" s="2" t="s">
        <v>1583</v>
      </c>
      <c r="C894" s="2" t="s">
        <v>1584</v>
      </c>
      <c r="D894" s="2" t="s">
        <v>8</v>
      </c>
      <c r="E894" s="2" t="s">
        <v>1586</v>
      </c>
      <c r="F894" s="2">
        <v>1001</v>
      </c>
      <c r="G894" s="2" t="s">
        <v>9</v>
      </c>
      <c r="H894" s="2" t="s">
        <v>1585</v>
      </c>
      <c r="I894" s="2" t="s">
        <v>446</v>
      </c>
      <c r="J894" s="2" t="s">
        <v>2898</v>
      </c>
      <c r="K894" s="2" t="s">
        <v>12</v>
      </c>
      <c r="L894" s="2" t="s">
        <v>447</v>
      </c>
      <c r="M894" s="2" t="s">
        <v>14</v>
      </c>
      <c r="N894" s="2" t="s">
        <v>15</v>
      </c>
      <c r="O894" s="2" t="s">
        <v>3125</v>
      </c>
      <c r="P894" s="2" t="str">
        <f>+VLOOKUP(Maestro_Clientes[[#This Row],[Entrega]],Preparacion!A:B,2,0)</f>
        <v>MARTES</v>
      </c>
    </row>
    <row r="895" spans="1:17" customFormat="1" x14ac:dyDescent="0.25">
      <c r="A895" s="2" t="s">
        <v>3885</v>
      </c>
      <c r="B895" s="2" t="s">
        <v>3886</v>
      </c>
      <c r="C895" s="2" t="s">
        <v>3887</v>
      </c>
      <c r="D895" s="2" t="s">
        <v>8</v>
      </c>
      <c r="E895" s="2" t="s">
        <v>3888</v>
      </c>
      <c r="F895" s="2">
        <v>1028</v>
      </c>
      <c r="G895" s="2" t="s">
        <v>81</v>
      </c>
      <c r="H895" s="2" t="s">
        <v>3889</v>
      </c>
      <c r="I895" s="2" t="s">
        <v>3890</v>
      </c>
      <c r="J895" s="2" t="s">
        <v>3891</v>
      </c>
      <c r="K895" s="2" t="s">
        <v>186</v>
      </c>
      <c r="L895" s="2" t="s">
        <v>3176</v>
      </c>
      <c r="M895" s="2" t="s">
        <v>87</v>
      </c>
      <c r="N895" s="2" t="s">
        <v>88</v>
      </c>
      <c r="O895" s="2" t="str">
        <f>_xlfn.IFNA(+VLOOKUP(Maestro_Clientes[[#This Row],[Zona]],Tabla1[[#All],[Cruce Reportes]:[ENTREGA ]],2,0),Maestro_Clientes[[#This Row],[Zona]])</f>
        <v>Expreso</v>
      </c>
      <c r="P895" s="2" t="str">
        <f>+VLOOKUP(Maestro_Clientes[[#This Row],[Entrega]],Preparacion!A:B,2,0)</f>
        <v>Expreso</v>
      </c>
    </row>
    <row r="896" spans="1:17" customFormat="1" x14ac:dyDescent="0.25">
      <c r="A896" s="2" t="s">
        <v>4792</v>
      </c>
      <c r="B896" s="2" t="s">
        <v>4793</v>
      </c>
      <c r="C896" s="2" t="s">
        <v>4794</v>
      </c>
      <c r="D896" s="2" t="s">
        <v>8</v>
      </c>
      <c r="E896" s="2" t="s">
        <v>4795</v>
      </c>
      <c r="F896" s="2">
        <v>1034</v>
      </c>
      <c r="G896" s="2" t="s">
        <v>158</v>
      </c>
      <c r="H896" s="2" t="s">
        <v>1042</v>
      </c>
      <c r="I896" s="2" t="s">
        <v>63</v>
      </c>
      <c r="J896" s="2" t="s">
        <v>4796</v>
      </c>
      <c r="K896" s="2" t="s">
        <v>63</v>
      </c>
      <c r="L896" s="2" t="s">
        <v>3068</v>
      </c>
      <c r="M896" s="2" t="s">
        <v>2706</v>
      </c>
      <c r="N896" s="2" t="s">
        <v>163</v>
      </c>
      <c r="O896" s="2" t="str">
        <f>_xlfn.IFNA(+VLOOKUP(Maestro_Clientes[[#This Row],[Zona]],Tabla1[[#All],[Cruce Reportes]:[ENTREGA ]],2,0),Maestro_Clientes[[#This Row],[Zona]])</f>
        <v>MARTES</v>
      </c>
      <c r="P896" s="2" t="str">
        <f>+VLOOKUP(Maestro_Clientes[[#This Row],[Entrega]],Preparacion!A:B,2,0)</f>
        <v>VIERNES</v>
      </c>
    </row>
    <row r="897" spans="1:17" customFormat="1" x14ac:dyDescent="0.25">
      <c r="A897" s="2" t="s">
        <v>1803</v>
      </c>
      <c r="B897" s="2" t="s">
        <v>1800</v>
      </c>
      <c r="C897" s="2" t="s">
        <v>1801</v>
      </c>
      <c r="D897" s="2" t="s">
        <v>8</v>
      </c>
      <c r="E897" s="2" t="s">
        <v>1802</v>
      </c>
      <c r="F897" s="2">
        <v>1025</v>
      </c>
      <c r="G897" s="2" t="s">
        <v>113</v>
      </c>
      <c r="H897" s="2" t="s">
        <v>404</v>
      </c>
      <c r="I897" s="2" t="s">
        <v>404</v>
      </c>
      <c r="J897" s="2" t="s">
        <v>2765</v>
      </c>
      <c r="K897" s="2" t="s">
        <v>12</v>
      </c>
      <c r="L897" s="2" t="s">
        <v>618</v>
      </c>
      <c r="M897" s="2" t="s">
        <v>118</v>
      </c>
      <c r="N897" s="2" t="s">
        <v>119</v>
      </c>
      <c r="O897" s="2" t="s">
        <v>3158</v>
      </c>
      <c r="P897" s="2" t="str">
        <f>+VLOOKUP(Maestro_Clientes[[#This Row],[Entrega]],Preparacion!A:B,2,0)</f>
        <v>MIERCOLES</v>
      </c>
    </row>
    <row r="898" spans="1:17" customFormat="1" x14ac:dyDescent="0.25">
      <c r="A898" s="2" t="s">
        <v>5085</v>
      </c>
      <c r="B898" s="2" t="s">
        <v>5083</v>
      </c>
      <c r="C898" s="2" t="s">
        <v>5084</v>
      </c>
      <c r="D898" s="2" t="s">
        <v>8</v>
      </c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 t="s">
        <v>3176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2075</v>
      </c>
      <c r="B899" s="2" t="s">
        <v>2071</v>
      </c>
      <c r="C899" s="2" t="s">
        <v>2072</v>
      </c>
      <c r="D899" s="2" t="s">
        <v>8</v>
      </c>
      <c r="E899" s="2" t="s">
        <v>2073</v>
      </c>
      <c r="F899" s="2">
        <v>1025</v>
      </c>
      <c r="G899" s="2" t="s">
        <v>113</v>
      </c>
      <c r="H899" s="2" t="s">
        <v>166</v>
      </c>
      <c r="I899" s="2" t="s">
        <v>2074</v>
      </c>
      <c r="J899" s="2" t="s">
        <v>2943</v>
      </c>
      <c r="K899" s="2" t="s">
        <v>169</v>
      </c>
      <c r="L899" s="2" t="s">
        <v>3176</v>
      </c>
      <c r="M899" s="2" t="s">
        <v>118</v>
      </c>
      <c r="N899" s="2" t="s">
        <v>119</v>
      </c>
      <c r="O899" s="2" t="str">
        <f>_xlfn.IFNA(+VLOOKUP(Maestro_Clientes[[#This Row],[Zona]],Tabla1[[#All],[Cruce Reportes]:[ENTREGA ]],2,0),Maestro_Clientes[[#This Row],[Zona]])</f>
        <v>Expreso</v>
      </c>
      <c r="P899" s="2" t="str">
        <f>+VLOOKUP(Maestro_Clientes[[#This Row],[Entrega]],Preparacion!A:B,2,0)</f>
        <v>Expreso</v>
      </c>
    </row>
    <row r="900" spans="1:17" customFormat="1" x14ac:dyDescent="0.25">
      <c r="A900" s="2" t="s">
        <v>1508</v>
      </c>
      <c r="B900" s="2" t="s">
        <v>1504</v>
      </c>
      <c r="C900" s="2" t="s">
        <v>1505</v>
      </c>
      <c r="D900" s="2" t="s">
        <v>8</v>
      </c>
      <c r="E900" s="2" t="s">
        <v>1506</v>
      </c>
      <c r="F900" s="2">
        <v>1014</v>
      </c>
      <c r="G900" s="2" t="s">
        <v>59</v>
      </c>
      <c r="H900" s="2" t="s">
        <v>77</v>
      </c>
      <c r="I900" s="2" t="s">
        <v>1507</v>
      </c>
      <c r="J900" s="2" t="s">
        <v>2890</v>
      </c>
      <c r="K900" s="2" t="s">
        <v>12</v>
      </c>
      <c r="L900" s="2" t="s">
        <v>77</v>
      </c>
      <c r="M900" s="2" t="s">
        <v>2706</v>
      </c>
      <c r="N900" s="2" t="s">
        <v>66</v>
      </c>
      <c r="O900" s="2" t="str">
        <f>_xlfn.IFNA(+VLOOKUP(Maestro_Clientes[[#This Row],[Zona]],Tabla1[[#All],[Cruce Reportes]:[ENTREGA ]],2,0),Maestro_Clientes[[#This Row],[Zona]])</f>
        <v>LUNES</v>
      </c>
      <c r="P900" s="2" t="str">
        <f>+VLOOKUP(Maestro_Clientes[[#This Row],[Entrega]],Preparacion!A:B,2,0)</f>
        <v>JUEVES</v>
      </c>
      <c r="Q900" s="2"/>
    </row>
    <row r="901" spans="1:17" customFormat="1" x14ac:dyDescent="0.25">
      <c r="A901" s="2" t="s">
        <v>592</v>
      </c>
      <c r="B901" s="2" t="s">
        <v>589</v>
      </c>
      <c r="C901" s="2" t="s">
        <v>590</v>
      </c>
      <c r="D901" s="2" t="s">
        <v>8</v>
      </c>
      <c r="E901" s="2" t="s">
        <v>591</v>
      </c>
      <c r="F901" s="2">
        <v>1001</v>
      </c>
      <c r="G901" s="2" t="s">
        <v>9</v>
      </c>
      <c r="H901" s="2" t="s">
        <v>446</v>
      </c>
      <c r="I901" s="2" t="s">
        <v>446</v>
      </c>
      <c r="J901" s="2" t="s">
        <v>2769</v>
      </c>
      <c r="K901" s="2" t="s">
        <v>12</v>
      </c>
      <c r="L901" s="2" t="s">
        <v>447</v>
      </c>
      <c r="M901" s="2" t="s">
        <v>14</v>
      </c>
      <c r="N901" s="2" t="s">
        <v>15</v>
      </c>
      <c r="O901" s="2" t="s">
        <v>3125</v>
      </c>
      <c r="P901" s="2" t="str">
        <f>+VLOOKUP(Maestro_Clientes[[#This Row],[Entrega]],Preparacion!A:B,2,0)</f>
        <v>MARTES</v>
      </c>
    </row>
    <row r="902" spans="1:17" customFormat="1" x14ac:dyDescent="0.25">
      <c r="A902" s="2" t="s">
        <v>1045</v>
      </c>
      <c r="B902" s="2" t="s">
        <v>1040</v>
      </c>
      <c r="C902" s="2" t="s">
        <v>1041</v>
      </c>
      <c r="D902" s="2" t="s">
        <v>8</v>
      </c>
      <c r="E902" s="2" t="s">
        <v>1043</v>
      </c>
      <c r="F902" s="2">
        <v>1003</v>
      </c>
      <c r="G902" s="2" t="s">
        <v>807</v>
      </c>
      <c r="H902" s="2" t="s">
        <v>1042</v>
      </c>
      <c r="I902" s="2" t="s">
        <v>62</v>
      </c>
      <c r="J902" s="2" t="s">
        <v>2842</v>
      </c>
      <c r="K902" s="2" t="s">
        <v>63</v>
      </c>
      <c r="L902" s="2" t="s">
        <v>3068</v>
      </c>
      <c r="M902" s="2" t="s">
        <v>812</v>
      </c>
      <c r="N902" s="2" t="s">
        <v>813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1187</v>
      </c>
      <c r="B903" s="2" t="s">
        <v>1184</v>
      </c>
      <c r="C903" s="2" t="s">
        <v>1185</v>
      </c>
      <c r="D903" s="2" t="s">
        <v>8</v>
      </c>
      <c r="E903" s="2" t="s">
        <v>1186</v>
      </c>
      <c r="F903" s="2">
        <v>1002</v>
      </c>
      <c r="G903" s="2" t="s">
        <v>34</v>
      </c>
      <c r="H903" s="2" t="s">
        <v>784</v>
      </c>
      <c r="I903" s="2" t="s">
        <v>784</v>
      </c>
      <c r="J903" s="2" t="s">
        <v>2813</v>
      </c>
      <c r="K903" s="2" t="s">
        <v>12</v>
      </c>
      <c r="L903" s="2" t="s">
        <v>10</v>
      </c>
      <c r="M903" s="2" t="s">
        <v>39</v>
      </c>
      <c r="N903" s="2" t="s">
        <v>40</v>
      </c>
      <c r="O903" s="2" t="str">
        <f>_xlfn.IFNA(+VLOOKUP(Maestro_Clientes[[#This Row],[Zona]],Tabla1[[#All],[Cruce Reportes]:[ENTREGA ]],2,0),Maestro_Clientes[[#This Row],[Zona]])</f>
        <v>MARTES</v>
      </c>
      <c r="P903" s="2" t="str">
        <f>+VLOOKUP(Maestro_Clientes[[#This Row],[Entrega]],Preparacion!A:B,2,0)</f>
        <v>VIERNES</v>
      </c>
    </row>
    <row r="904" spans="1:17" customFormat="1" x14ac:dyDescent="0.25">
      <c r="A904" s="2" t="s">
        <v>1191</v>
      </c>
      <c r="B904" s="2" t="s">
        <v>1188</v>
      </c>
      <c r="C904" s="2" t="s">
        <v>1189</v>
      </c>
      <c r="D904" s="2" t="s">
        <v>8</v>
      </c>
      <c r="E904" s="2" t="s">
        <v>1190</v>
      </c>
      <c r="F904" s="2">
        <v>1014</v>
      </c>
      <c r="G904" s="2" t="s">
        <v>59</v>
      </c>
      <c r="H904" s="2" t="s">
        <v>763</v>
      </c>
      <c r="I904" s="2" t="s">
        <v>686</v>
      </c>
      <c r="J904" s="2" t="s">
        <v>2733</v>
      </c>
      <c r="K904" s="2" t="s">
        <v>12</v>
      </c>
      <c r="L904" s="2" t="s">
        <v>3176</v>
      </c>
      <c r="M904" s="2" t="s">
        <v>2706</v>
      </c>
      <c r="N904" s="2" t="s">
        <v>66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3892</v>
      </c>
      <c r="B905" s="2" t="s">
        <v>3893</v>
      </c>
      <c r="C905" s="2" t="s">
        <v>3894</v>
      </c>
      <c r="D905" s="2" t="s">
        <v>8</v>
      </c>
      <c r="E905" s="2" t="s">
        <v>3895</v>
      </c>
      <c r="F905" s="2">
        <v>1023</v>
      </c>
      <c r="G905" s="2" t="s">
        <v>2092</v>
      </c>
      <c r="H905" s="2" t="s">
        <v>757</v>
      </c>
      <c r="I905" s="2" t="s">
        <v>243</v>
      </c>
      <c r="J905" s="2" t="s">
        <v>2946</v>
      </c>
      <c r="K905" s="2" t="s">
        <v>243</v>
      </c>
      <c r="L905" s="2" t="s">
        <v>3176</v>
      </c>
      <c r="M905" s="2" t="s">
        <v>2093</v>
      </c>
      <c r="N905" s="2" t="s">
        <v>2094</v>
      </c>
      <c r="O905" s="2" t="str">
        <f>_xlfn.IFNA(+VLOOKUP(Maestro_Clientes[[#This Row],[Zona]],Tabla1[[#All],[Cruce Reportes]:[ENTREGA ]],2,0),Maestro_Clientes[[#This Row],[Zona]])</f>
        <v>Expreso</v>
      </c>
      <c r="P905" s="2" t="str">
        <f>+VLOOKUP(Maestro_Clientes[[#This Row],[Entrega]],Preparacion!A:B,2,0)</f>
        <v>Expreso</v>
      </c>
    </row>
    <row r="906" spans="1:17" customFormat="1" x14ac:dyDescent="0.25">
      <c r="A906" s="2" t="s">
        <v>1101</v>
      </c>
      <c r="B906" s="2" t="s">
        <v>1097</v>
      </c>
      <c r="C906" s="2" t="s">
        <v>1098</v>
      </c>
      <c r="D906" s="2" t="s">
        <v>8</v>
      </c>
      <c r="E906" s="2" t="s">
        <v>1100</v>
      </c>
      <c r="F906" s="2">
        <v>1002</v>
      </c>
      <c r="G906" s="2" t="s">
        <v>34</v>
      </c>
      <c r="H906" s="2" t="s">
        <v>1099</v>
      </c>
      <c r="I906" s="2" t="s">
        <v>1099</v>
      </c>
      <c r="J906" s="2" t="s">
        <v>2847</v>
      </c>
      <c r="K906" s="2" t="s">
        <v>12</v>
      </c>
      <c r="L906" s="2" t="s">
        <v>623</v>
      </c>
      <c r="M906" s="2" t="s">
        <v>39</v>
      </c>
      <c r="N906" s="2" t="s">
        <v>40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4813</v>
      </c>
      <c r="B907" s="2" t="s">
        <v>1097</v>
      </c>
      <c r="C907" s="2" t="s">
        <v>1098</v>
      </c>
      <c r="D907" s="2" t="s">
        <v>8</v>
      </c>
      <c r="E907" s="2" t="s">
        <v>4814</v>
      </c>
      <c r="F907" s="2">
        <v>0</v>
      </c>
      <c r="G907" s="2" t="s">
        <v>3176</v>
      </c>
      <c r="H907" s="2" t="s">
        <v>4815</v>
      </c>
      <c r="I907" s="2" t="s">
        <v>917</v>
      </c>
      <c r="J907" s="2" t="s">
        <v>2827</v>
      </c>
      <c r="K907" s="2" t="s">
        <v>12</v>
      </c>
      <c r="L907" s="2" t="s">
        <v>3023</v>
      </c>
      <c r="M907" s="2" t="s">
        <v>2706</v>
      </c>
      <c r="N907" s="2" t="s">
        <v>2706</v>
      </c>
      <c r="O907" s="2" t="str">
        <f>_xlfn.IFNA(+VLOOKUP(Maestro_Clientes[[#This Row],[Zona]],Tabla1[[#All],[Cruce Reportes]:[ENTREGA ]],2,0),Maestro_Clientes[[#This Row],[Zona]])</f>
        <v>LUNES</v>
      </c>
      <c r="P907" s="2" t="str">
        <f>+VLOOKUP(Maestro_Clientes[[#This Row],[Entrega]],Preparacion!A:B,2,0)</f>
        <v>JUEVES</v>
      </c>
      <c r="Q907" s="2"/>
    </row>
    <row r="908" spans="1:17" customFormat="1" x14ac:dyDescent="0.25">
      <c r="A908" s="2" t="s">
        <v>2047</v>
      </c>
      <c r="B908" s="2" t="s">
        <v>2043</v>
      </c>
      <c r="C908" s="2" t="s">
        <v>2044</v>
      </c>
      <c r="D908" s="2" t="s">
        <v>8</v>
      </c>
      <c r="E908" s="2" t="s">
        <v>2045</v>
      </c>
      <c r="F908" s="2">
        <v>1028</v>
      </c>
      <c r="G908" s="2" t="s">
        <v>81</v>
      </c>
      <c r="H908" s="2" t="s">
        <v>229</v>
      </c>
      <c r="I908" s="2" t="s">
        <v>2046</v>
      </c>
      <c r="J908" s="2" t="s">
        <v>2941</v>
      </c>
      <c r="K908" s="2" t="s">
        <v>126</v>
      </c>
      <c r="L908" s="2" t="s">
        <v>3176</v>
      </c>
      <c r="M908" s="2" t="s">
        <v>87</v>
      </c>
      <c r="N908" s="2" t="s">
        <v>88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2587</v>
      </c>
      <c r="B909" s="2" t="s">
        <v>442</v>
      </c>
      <c r="C909" s="2" t="s">
        <v>443</v>
      </c>
      <c r="D909" s="2" t="s">
        <v>8</v>
      </c>
      <c r="E909" s="2" t="s">
        <v>2586</v>
      </c>
      <c r="F909" s="2">
        <v>1001</v>
      </c>
      <c r="G909" s="2" t="s">
        <v>9</v>
      </c>
      <c r="H909" s="2" t="s">
        <v>2706</v>
      </c>
      <c r="I909" s="2" t="s">
        <v>446</v>
      </c>
      <c r="J909" s="2" t="s">
        <v>2769</v>
      </c>
      <c r="K909" s="2" t="s">
        <v>12</v>
      </c>
      <c r="L909" s="2" t="s">
        <v>3176</v>
      </c>
      <c r="M909" s="2" t="s">
        <v>14</v>
      </c>
      <c r="N909" s="2" t="s">
        <v>15</v>
      </c>
      <c r="O909" s="2" t="str">
        <f>_xlfn.IFNA(+VLOOKUP(Maestro_Clientes[[#This Row],[Zona]],Tabla1[[#All],[Cruce Reportes]:[ENTREGA ]],2,0),Maestro_Clientes[[#This Row],[Zona]])</f>
        <v>Expreso</v>
      </c>
      <c r="P909" s="2" t="str">
        <f>+VLOOKUP(Maestro_Clientes[[#This Row],[Entrega]],Preparacion!A:B,2,0)</f>
        <v>Expreso</v>
      </c>
    </row>
    <row r="910" spans="1:17" customFormat="1" x14ac:dyDescent="0.25">
      <c r="A910" s="2" t="s">
        <v>448</v>
      </c>
      <c r="B910" s="2" t="s">
        <v>442</v>
      </c>
      <c r="C910" s="2" t="s">
        <v>443</v>
      </c>
      <c r="D910" s="2" t="s">
        <v>8</v>
      </c>
      <c r="E910" s="2" t="s">
        <v>445</v>
      </c>
      <c r="F910" s="2">
        <v>0</v>
      </c>
      <c r="G910" s="2" t="s">
        <v>3176</v>
      </c>
      <c r="H910" s="2" t="s">
        <v>444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2706</v>
      </c>
      <c r="N910" s="2" t="s">
        <v>2706</v>
      </c>
      <c r="O910" s="2" t="s">
        <v>3125</v>
      </c>
      <c r="P910" s="2" t="str">
        <f>+VLOOKUP(Maestro_Clientes[[#This Row],[Entrega]],Preparacion!A:B,2,0)</f>
        <v>MARTES</v>
      </c>
    </row>
    <row r="911" spans="1:17" customFormat="1" x14ac:dyDescent="0.25">
      <c r="A911" s="2" t="s">
        <v>1485</v>
      </c>
      <c r="B911" s="2" t="s">
        <v>442</v>
      </c>
      <c r="C911" s="2" t="s">
        <v>443</v>
      </c>
      <c r="D911" s="2" t="s">
        <v>8</v>
      </c>
      <c r="E911" s="2" t="s">
        <v>1484</v>
      </c>
      <c r="F911" s="2">
        <v>1003</v>
      </c>
      <c r="G911" s="2" t="s">
        <v>807</v>
      </c>
      <c r="H911" s="2" t="s">
        <v>1483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812</v>
      </c>
      <c r="N911" s="2" t="s">
        <v>813</v>
      </c>
      <c r="O911" s="2" t="s">
        <v>3125</v>
      </c>
      <c r="P911" s="2" t="str">
        <f>+VLOOKUP(Maestro_Clientes[[#This Row],[Entrega]],Preparacion!A:B,2,0)</f>
        <v>MARTES</v>
      </c>
    </row>
    <row r="912" spans="1:17" x14ac:dyDescent="0.25">
      <c r="A912" s="2" t="s">
        <v>3380</v>
      </c>
      <c r="B912" s="2" t="s">
        <v>442</v>
      </c>
      <c r="C912" s="2" t="s">
        <v>443</v>
      </c>
      <c r="D912" s="2" t="s">
        <v>24</v>
      </c>
      <c r="E912" s="2" t="s">
        <v>3381</v>
      </c>
      <c r="F912" s="2">
        <v>0</v>
      </c>
      <c r="G912" s="2" t="s">
        <v>3176</v>
      </c>
      <c r="H912" s="2" t="s">
        <v>3382</v>
      </c>
      <c r="I912" s="2" t="s">
        <v>446</v>
      </c>
      <c r="J912" s="2" t="s">
        <v>2769</v>
      </c>
      <c r="K912" s="2" t="s">
        <v>12</v>
      </c>
      <c r="L912" s="2" t="s">
        <v>447</v>
      </c>
      <c r="M912" s="2" t="s">
        <v>2706</v>
      </c>
      <c r="N912" s="2" t="s">
        <v>2706</v>
      </c>
      <c r="O912" s="2" t="s">
        <v>3125</v>
      </c>
      <c r="P912" s="2" t="str">
        <f>+VLOOKUP(Maestro_Clientes[[#This Row],[Entrega]],Preparacion!A:B,2,0)</f>
        <v>MARTES</v>
      </c>
      <c r="Q912"/>
    </row>
    <row r="913" spans="1:17" customFormat="1" x14ac:dyDescent="0.25">
      <c r="A913" s="2" t="s">
        <v>4843</v>
      </c>
      <c r="B913" s="2" t="s">
        <v>4844</v>
      </c>
      <c r="C913" s="2" t="s">
        <v>4845</v>
      </c>
      <c r="D913" s="2" t="s">
        <v>8</v>
      </c>
      <c r="E913" s="2" t="s">
        <v>2304</v>
      </c>
      <c r="F913" s="2">
        <v>1034</v>
      </c>
      <c r="G913" s="2" t="s">
        <v>158</v>
      </c>
      <c r="H913" s="2" t="s">
        <v>4846</v>
      </c>
      <c r="I913" s="2" t="s">
        <v>474</v>
      </c>
      <c r="J913" s="2" t="s">
        <v>2772</v>
      </c>
      <c r="K913" s="2" t="s">
        <v>186</v>
      </c>
      <c r="L913" s="2" t="s">
        <v>3009</v>
      </c>
      <c r="M913" s="2" t="s">
        <v>2706</v>
      </c>
      <c r="N913" s="2" t="s">
        <v>163</v>
      </c>
      <c r="O913" s="2" t="s">
        <v>3158</v>
      </c>
      <c r="P913" s="2" t="str">
        <f>+VLOOKUP(Maestro_Clientes[[#This Row],[Entrega]],Preparacion!A:B,2,0)</f>
        <v>MIERCOLES</v>
      </c>
    </row>
    <row r="914" spans="1:17" customFormat="1" x14ac:dyDescent="0.25">
      <c r="A914" s="2" t="s">
        <v>4797</v>
      </c>
      <c r="B914" s="2" t="s">
        <v>4798</v>
      </c>
      <c r="C914" s="2" t="s">
        <v>4799</v>
      </c>
      <c r="D914" s="2" t="s">
        <v>8</v>
      </c>
      <c r="E914" s="2" t="s">
        <v>4800</v>
      </c>
      <c r="F914" s="2">
        <v>1034</v>
      </c>
      <c r="G914" s="2" t="s">
        <v>158</v>
      </c>
      <c r="H914" s="2" t="s">
        <v>4801</v>
      </c>
      <c r="I914" s="2" t="s">
        <v>147</v>
      </c>
      <c r="J914" s="2" t="s">
        <v>4802</v>
      </c>
      <c r="K914" s="2" t="s">
        <v>147</v>
      </c>
      <c r="L914" s="2" t="s">
        <v>3009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EXPRESO</v>
      </c>
      <c r="P914" s="2" t="str">
        <f>+VLOOKUP(Maestro_Clientes[[#This Row],[Entrega]],Preparacion!A:B,2,0)</f>
        <v>Expreso</v>
      </c>
    </row>
    <row r="915" spans="1:17" customFormat="1" x14ac:dyDescent="0.25">
      <c r="A915" s="2" t="s">
        <v>4847</v>
      </c>
      <c r="B915" s="2" t="s">
        <v>4848</v>
      </c>
      <c r="C915" s="2" t="s">
        <v>4849</v>
      </c>
      <c r="D915" s="2" t="s">
        <v>8</v>
      </c>
      <c r="E915" s="2" t="s">
        <v>4850</v>
      </c>
      <c r="F915" s="2">
        <v>1034</v>
      </c>
      <c r="G915" s="2" t="s">
        <v>158</v>
      </c>
      <c r="H915" s="2" t="s">
        <v>1042</v>
      </c>
      <c r="I915" s="2" t="s">
        <v>62</v>
      </c>
      <c r="J915" s="2" t="s">
        <v>4851</v>
      </c>
      <c r="K915" s="2" t="s">
        <v>63</v>
      </c>
      <c r="L915" s="2" t="s">
        <v>3068</v>
      </c>
      <c r="M915" s="2" t="s">
        <v>2706</v>
      </c>
      <c r="N915" s="2" t="s">
        <v>163</v>
      </c>
      <c r="O915" s="2" t="str">
        <f>_xlfn.IFNA(+VLOOKUP(Maestro_Clientes[[#This Row],[Zona]],Tabla1[[#All],[Cruce Reportes]:[ENTREGA ]],2,0),Maestro_Clientes[[#This Row],[Zona]])</f>
        <v>MARTES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5006</v>
      </c>
      <c r="B916" s="2" t="s">
        <v>1040</v>
      </c>
      <c r="C916" s="2" t="s">
        <v>1041</v>
      </c>
      <c r="D916" s="2" t="s">
        <v>8</v>
      </c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 t="s">
        <v>3068</v>
      </c>
      <c r="P916" s="2" t="str">
        <f>+VLOOKUP(Maestro_Clientes[[#This Row],[Entrega]],Preparacion!A:B,2,0)</f>
        <v>VIERNES</v>
      </c>
    </row>
    <row r="917" spans="1:17" customFormat="1" x14ac:dyDescent="0.25">
      <c r="A917" s="2" t="s">
        <v>4803</v>
      </c>
      <c r="B917" s="2" t="s">
        <v>4804</v>
      </c>
      <c r="C917" s="2" t="s">
        <v>4805</v>
      </c>
      <c r="D917" s="2" t="s">
        <v>8</v>
      </c>
      <c r="E917" s="2" t="s">
        <v>4806</v>
      </c>
      <c r="F917" s="2">
        <v>1001</v>
      </c>
      <c r="G917" s="2" t="s">
        <v>9</v>
      </c>
      <c r="H917" s="2" t="s">
        <v>4807</v>
      </c>
      <c r="I917" s="2" t="s">
        <v>1050</v>
      </c>
      <c r="J917" s="2" t="s">
        <v>2843</v>
      </c>
      <c r="K917" s="2" t="s">
        <v>531</v>
      </c>
      <c r="L917" s="2" t="s">
        <v>3009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EXPRESO</v>
      </c>
      <c r="P917" s="2" t="str">
        <f>+VLOOKUP(Maestro_Clientes[[#This Row],[Entrega]],Preparacion!A:B,2,0)</f>
        <v>Expreso</v>
      </c>
    </row>
    <row r="918" spans="1:17" x14ac:dyDescent="0.25">
      <c r="A918" s="2" t="s">
        <v>4821</v>
      </c>
      <c r="B918" s="2" t="s">
        <v>332</v>
      </c>
      <c r="C918" s="2" t="s">
        <v>333</v>
      </c>
      <c r="D918" s="2" t="s">
        <v>8</v>
      </c>
      <c r="E918" s="2" t="s">
        <v>4822</v>
      </c>
      <c r="F918" s="2">
        <v>1001</v>
      </c>
      <c r="G918" s="2" t="s">
        <v>9</v>
      </c>
      <c r="H918" s="2" t="s">
        <v>1797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  <c r="Q918"/>
    </row>
    <row r="919" spans="1:17" customFormat="1" x14ac:dyDescent="0.25">
      <c r="A919" s="2" t="s">
        <v>4823</v>
      </c>
      <c r="B919" s="2" t="s">
        <v>332</v>
      </c>
      <c r="C919" s="2" t="s">
        <v>333</v>
      </c>
      <c r="D919" s="2" t="s">
        <v>8</v>
      </c>
      <c r="E919" s="2" t="s">
        <v>4824</v>
      </c>
      <c r="F919" s="2">
        <v>1001</v>
      </c>
      <c r="G919" s="2" t="s">
        <v>9</v>
      </c>
      <c r="H919" s="2" t="s">
        <v>4825</v>
      </c>
      <c r="I919" s="2" t="s">
        <v>336</v>
      </c>
      <c r="J919" s="2" t="s">
        <v>2755</v>
      </c>
      <c r="K919" s="2" t="s">
        <v>12</v>
      </c>
      <c r="L919" s="2" t="s">
        <v>3116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337</v>
      </c>
      <c r="B920" s="2" t="s">
        <v>332</v>
      </c>
      <c r="C920" s="2" t="s">
        <v>333</v>
      </c>
      <c r="D920" s="2" t="s">
        <v>8</v>
      </c>
      <c r="E920" s="2" t="s">
        <v>335</v>
      </c>
      <c r="F920" s="2">
        <v>1001</v>
      </c>
      <c r="G920" s="2" t="s">
        <v>9</v>
      </c>
      <c r="H920" s="2" t="s">
        <v>334</v>
      </c>
      <c r="I920" s="2" t="s">
        <v>336</v>
      </c>
      <c r="J920" s="2" t="s">
        <v>2755</v>
      </c>
      <c r="K920" s="2" t="s">
        <v>12</v>
      </c>
      <c r="L920" s="2" t="s">
        <v>336</v>
      </c>
      <c r="M920" s="2" t="s">
        <v>14</v>
      </c>
      <c r="N920" s="2" t="s">
        <v>15</v>
      </c>
      <c r="O920" s="2" t="str">
        <f>_xlfn.IFNA(+VLOOKUP(Maestro_Clientes[[#This Row],[Zona]],Tabla1[[#All],[Cruce Reportes]:[ENTREGA ]],2,0),Maestro_Clientes[[#This Row],[Zona]])</f>
        <v>MIERCOLES</v>
      </c>
      <c r="P920" s="2" t="str">
        <f>+VLOOKUP(Maestro_Clientes[[#This Row],[Entrega]],Preparacion!A:B,2,0)</f>
        <v>LUNES</v>
      </c>
    </row>
    <row r="921" spans="1:17" customFormat="1" x14ac:dyDescent="0.25">
      <c r="A921" s="2" t="s">
        <v>702</v>
      </c>
      <c r="B921" s="2" t="s">
        <v>698</v>
      </c>
      <c r="C921" s="2" t="s">
        <v>699</v>
      </c>
      <c r="D921" s="2" t="s">
        <v>8</v>
      </c>
      <c r="E921" s="2" t="s">
        <v>700</v>
      </c>
      <c r="F921" s="2">
        <v>1002</v>
      </c>
      <c r="G921" s="2" t="s">
        <v>34</v>
      </c>
      <c r="H921" s="2" t="s">
        <v>229</v>
      </c>
      <c r="I921" s="2" t="s">
        <v>701</v>
      </c>
      <c r="J921" s="2" t="s">
        <v>2801</v>
      </c>
      <c r="K921" s="2" t="s">
        <v>126</v>
      </c>
      <c r="L921" s="2" t="s">
        <v>3176</v>
      </c>
      <c r="M921" s="2" t="s">
        <v>39</v>
      </c>
      <c r="N921" s="2" t="s">
        <v>40</v>
      </c>
      <c r="O921" s="2" t="str">
        <f>_xlfn.IFNA(+VLOOKUP(Maestro_Clientes[[#This Row],[Zona]],Tabla1[[#All],[Cruce Reportes]:[ENTREGA ]],2,0),Maestro_Clientes[[#This Row],[Zona]])</f>
        <v>Expreso</v>
      </c>
      <c r="P921" s="2" t="str">
        <f>+VLOOKUP(Maestro_Clientes[[#This Row],[Entrega]],Preparacion!A:B,2,0)</f>
        <v>Expreso</v>
      </c>
    </row>
    <row r="922" spans="1:17" customFormat="1" x14ac:dyDescent="0.25">
      <c r="A922" s="2" t="s">
        <v>1799</v>
      </c>
      <c r="B922" s="2" t="s">
        <v>1795</v>
      </c>
      <c r="C922" s="2" t="s">
        <v>1796</v>
      </c>
      <c r="D922" s="2" t="s">
        <v>8</v>
      </c>
      <c r="E922" s="2" t="s">
        <v>1798</v>
      </c>
      <c r="F922" s="2">
        <v>1001</v>
      </c>
      <c r="G922" s="2" t="s">
        <v>9</v>
      </c>
      <c r="H922" s="2" t="s">
        <v>1797</v>
      </c>
      <c r="I922" s="2" t="s">
        <v>336</v>
      </c>
      <c r="J922" s="2" t="s">
        <v>2755</v>
      </c>
      <c r="K922" s="2" t="s">
        <v>12</v>
      </c>
      <c r="L922" s="2" t="s">
        <v>336</v>
      </c>
      <c r="M922" s="2" t="s">
        <v>14</v>
      </c>
      <c r="N922" s="2" t="s">
        <v>15</v>
      </c>
      <c r="O922" s="2" t="str">
        <f>_xlfn.IFNA(+VLOOKUP(Maestro_Clientes[[#This Row],[Zona]],Tabla1[[#All],[Cruce Reportes]:[ENTREGA ]],2,0),Maestro_Clientes[[#This Row],[Zona]])</f>
        <v>MIERCOLES</v>
      </c>
      <c r="P922" s="2" t="str">
        <f>+VLOOKUP(Maestro_Clientes[[#This Row],[Entrega]],Preparacion!A:B,2,0)</f>
        <v>LUNES</v>
      </c>
    </row>
    <row r="923" spans="1:17" x14ac:dyDescent="0.25">
      <c r="A923" s="2" t="s">
        <v>2015</v>
      </c>
      <c r="B923" s="2" t="s">
        <v>2010</v>
      </c>
      <c r="C923" s="2" t="s">
        <v>2011</v>
      </c>
      <c r="D923" s="2" t="s">
        <v>8</v>
      </c>
      <c r="E923" s="2" t="s">
        <v>2013</v>
      </c>
      <c r="F923" s="2">
        <v>0</v>
      </c>
      <c r="G923" s="2" t="s">
        <v>3176</v>
      </c>
      <c r="H923" s="2" t="s">
        <v>2012</v>
      </c>
      <c r="I923" s="2" t="s">
        <v>2014</v>
      </c>
      <c r="J923" s="2" t="s">
        <v>2766</v>
      </c>
      <c r="K923" s="2" t="s">
        <v>63</v>
      </c>
      <c r="L923" s="2" t="s">
        <v>3011</v>
      </c>
      <c r="M923" s="2" t="s">
        <v>2706</v>
      </c>
      <c r="N923" s="2" t="s">
        <v>2706</v>
      </c>
      <c r="O923" s="2" t="str">
        <f>_xlfn.IFNA(+VLOOKUP(Maestro_Clientes[[#This Row],[Zona]],Tabla1[[#All],[Cruce Reportes]:[ENTREGA ]],2,0),Maestro_Clientes[[#This Row],[Zona]])</f>
        <v>DIARIA</v>
      </c>
      <c r="P923" s="2" t="str">
        <f>+VLOOKUP(Maestro_Clientes[[#This Row],[Entrega]],Preparacion!A:B,2,0)</f>
        <v>DIARIA</v>
      </c>
      <c r="Q923"/>
    </row>
    <row r="924" spans="1:17" customFormat="1" x14ac:dyDescent="0.25">
      <c r="A924" s="2" t="s">
        <v>1402</v>
      </c>
      <c r="B924" s="2" t="s">
        <v>1398</v>
      </c>
      <c r="C924" s="2" t="s">
        <v>1399</v>
      </c>
      <c r="D924" s="2" t="s">
        <v>8</v>
      </c>
      <c r="E924" s="2" t="s">
        <v>1401</v>
      </c>
      <c r="F924" s="2">
        <v>1014</v>
      </c>
      <c r="G924" s="2" t="s">
        <v>59</v>
      </c>
      <c r="H924" s="2" t="s">
        <v>1400</v>
      </c>
      <c r="I924" s="2" t="s">
        <v>4186</v>
      </c>
      <c r="J924" s="2" t="s">
        <v>2881</v>
      </c>
      <c r="K924" s="2" t="s">
        <v>681</v>
      </c>
      <c r="L924" s="2" t="s">
        <v>3176</v>
      </c>
      <c r="M924" s="2" t="s">
        <v>2706</v>
      </c>
      <c r="N924" s="2" t="s">
        <v>66</v>
      </c>
      <c r="O924" s="2" t="str">
        <f>_xlfn.IFNA(+VLOOKUP(Maestro_Clientes[[#This Row],[Zona]],Tabla1[[#All],[Cruce Reportes]:[ENTREGA ]],2,0),Maestro_Clientes[[#This Row],[Zona]])</f>
        <v>Expreso</v>
      </c>
      <c r="P924" s="2" t="str">
        <f>+VLOOKUP(Maestro_Clientes[[#This Row],[Entrega]],Preparacion!A:B,2,0)</f>
        <v>Expreso</v>
      </c>
    </row>
    <row r="925" spans="1:17" customFormat="1" x14ac:dyDescent="0.25">
      <c r="A925" s="2" t="s">
        <v>5518</v>
      </c>
      <c r="B925" s="2" t="s">
        <v>1398</v>
      </c>
      <c r="C925" s="2" t="s">
        <v>1399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5150</v>
      </c>
      <c r="B926" s="2" t="s">
        <v>5148</v>
      </c>
      <c r="C926" s="2" t="s">
        <v>5149</v>
      </c>
      <c r="D926" s="2" t="s">
        <v>8</v>
      </c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 t="s">
        <v>3068</v>
      </c>
      <c r="P926" s="2" t="str">
        <f>+VLOOKUP(Maestro_Clientes[[#This Row],[Entrega]],Preparacion!A:B,2,0)</f>
        <v>VIERNES</v>
      </c>
    </row>
    <row r="927" spans="1:17" customFormat="1" x14ac:dyDescent="0.25">
      <c r="A927" s="2" t="s">
        <v>117</v>
      </c>
      <c r="B927" s="2" t="s">
        <v>111</v>
      </c>
      <c r="C927" s="2" t="s">
        <v>112</v>
      </c>
      <c r="D927" s="2" t="s">
        <v>8</v>
      </c>
      <c r="E927" s="2" t="s">
        <v>115</v>
      </c>
      <c r="F927" s="2">
        <v>1025</v>
      </c>
      <c r="G927" s="2" t="s">
        <v>113</v>
      </c>
      <c r="H927" s="2" t="s">
        <v>114</v>
      </c>
      <c r="I927" s="2" t="s">
        <v>62</v>
      </c>
      <c r="J927" s="2" t="s">
        <v>2718</v>
      </c>
      <c r="K927" s="2" t="s">
        <v>63</v>
      </c>
      <c r="L927" s="2" t="s">
        <v>3011</v>
      </c>
      <c r="M927" s="2" t="s">
        <v>118</v>
      </c>
      <c r="N927" s="2" t="s">
        <v>119</v>
      </c>
      <c r="O927" s="2" t="str">
        <f>_xlfn.IFNA(+VLOOKUP(Maestro_Clientes[[#This Row],[Zona]],Tabla1[[#All],[Cruce Reportes]:[ENTREGA ]],2,0),Maestro_Clientes[[#This Row],[Zona]])</f>
        <v>DIARIA</v>
      </c>
      <c r="P927" s="2" t="str">
        <f>+VLOOKUP(Maestro_Clientes[[#This Row],[Entrega]],Preparacion!A:B,2,0)</f>
        <v>DIARIA</v>
      </c>
    </row>
    <row r="928" spans="1:17" x14ac:dyDescent="0.25">
      <c r="A928" s="2" t="s">
        <v>5060</v>
      </c>
      <c r="B928" s="2" t="s">
        <v>5059</v>
      </c>
      <c r="C928" s="2" t="s">
        <v>5058</v>
      </c>
      <c r="D928" s="2" t="s">
        <v>8</v>
      </c>
      <c r="O928" s="2" t="s">
        <v>3023</v>
      </c>
      <c r="P928" s="2" t="str">
        <f>+VLOOKUP(Maestro_Clientes[[#This Row],[Entrega]],Preparacion!A:B,2,0)</f>
        <v>JUEVES</v>
      </c>
    </row>
    <row r="929" spans="1:17" customFormat="1" x14ac:dyDescent="0.25">
      <c r="A929" s="2" t="s">
        <v>4459</v>
      </c>
      <c r="B929" s="2" t="s">
        <v>4460</v>
      </c>
      <c r="C929" s="2" t="s">
        <v>4461</v>
      </c>
      <c r="D929" s="2" t="s">
        <v>8</v>
      </c>
      <c r="E929" s="2" t="s">
        <v>4462</v>
      </c>
      <c r="F929" s="2">
        <v>1014</v>
      </c>
      <c r="G929" s="2" t="s">
        <v>59</v>
      </c>
      <c r="H929" s="2" t="s">
        <v>114</v>
      </c>
      <c r="I929" s="2" t="s">
        <v>62</v>
      </c>
      <c r="J929" s="2" t="s">
        <v>2845</v>
      </c>
      <c r="K929" s="2" t="s">
        <v>63</v>
      </c>
      <c r="L929" s="2" t="s">
        <v>3011</v>
      </c>
      <c r="M929" s="2" t="s">
        <v>2706</v>
      </c>
      <c r="N929" s="2" t="s">
        <v>66</v>
      </c>
      <c r="O929" s="2" t="str">
        <f>_xlfn.IFNA(+VLOOKUP(Maestro_Clientes[[#This Row],[Zona]],Tabla1[[#All],[Cruce Reportes]:[ENTREGA ]],2,0),Maestro_Clientes[[#This Row],[Zona]])</f>
        <v>DIARIA</v>
      </c>
      <c r="P929" s="2" t="str">
        <f>+VLOOKUP(Maestro_Clientes[[#This Row],[Entrega]],Preparacion!A:B,2,0)</f>
        <v>DIARIA</v>
      </c>
    </row>
    <row r="930" spans="1:17" customFormat="1" x14ac:dyDescent="0.25">
      <c r="A930" s="2" t="s">
        <v>492</v>
      </c>
      <c r="B930" s="2" t="s">
        <v>487</v>
      </c>
      <c r="C930" s="2" t="s">
        <v>488</v>
      </c>
      <c r="D930" s="2" t="s">
        <v>24</v>
      </c>
      <c r="E930" s="2" t="s">
        <v>490</v>
      </c>
      <c r="F930" s="2">
        <v>1001</v>
      </c>
      <c r="G930" s="2" t="s">
        <v>9</v>
      </c>
      <c r="H930" s="2" t="s">
        <v>489</v>
      </c>
      <c r="I930" s="2" t="s">
        <v>489</v>
      </c>
      <c r="J930" s="2" t="s">
        <v>2775</v>
      </c>
      <c r="K930" s="2" t="s">
        <v>12</v>
      </c>
      <c r="L930" s="2" t="s">
        <v>491</v>
      </c>
      <c r="M930" s="2" t="s">
        <v>14</v>
      </c>
      <c r="N930" s="2" t="s">
        <v>15</v>
      </c>
      <c r="O930" s="2" t="s">
        <v>3158</v>
      </c>
      <c r="P930" s="2" t="str">
        <f>+VLOOKUP(Maestro_Clientes[[#This Row],[Entrega]],Preparacion!A:B,2,0)</f>
        <v>MIERCOLES</v>
      </c>
    </row>
    <row r="931" spans="1:17" x14ac:dyDescent="0.25">
      <c r="A931" s="2" t="s">
        <v>204</v>
      </c>
      <c r="B931" s="2" t="s">
        <v>199</v>
      </c>
      <c r="C931" s="2" t="s">
        <v>200</v>
      </c>
      <c r="D931" s="2" t="s">
        <v>8</v>
      </c>
      <c r="E931" s="2" t="s">
        <v>202</v>
      </c>
      <c r="F931" s="2">
        <v>1014</v>
      </c>
      <c r="G931" s="2" t="s">
        <v>59</v>
      </c>
      <c r="H931" s="2" t="s">
        <v>201</v>
      </c>
      <c r="I931" s="2" t="s">
        <v>203</v>
      </c>
      <c r="J931" s="2" t="s">
        <v>2732</v>
      </c>
      <c r="K931" s="2" t="s">
        <v>12</v>
      </c>
      <c r="L931" s="2" t="s">
        <v>3176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Expreso</v>
      </c>
      <c r="P931" s="2" t="str">
        <f>+VLOOKUP(Maestro_Clientes[[#This Row],[Entrega]],Preparacion!A:B,2,0)</f>
        <v>Expreso</v>
      </c>
      <c r="Q931"/>
    </row>
    <row r="932" spans="1:17" customFormat="1" x14ac:dyDescent="0.25">
      <c r="A932" s="2" t="s">
        <v>2333</v>
      </c>
      <c r="B932" s="2" t="s">
        <v>2330</v>
      </c>
      <c r="C932" s="2" t="s">
        <v>2331</v>
      </c>
      <c r="D932" s="2" t="s">
        <v>8</v>
      </c>
      <c r="E932" s="2" t="s">
        <v>2332</v>
      </c>
      <c r="F932" s="2">
        <v>1014</v>
      </c>
      <c r="G932" s="2" t="s">
        <v>59</v>
      </c>
      <c r="H932" s="2" t="s">
        <v>114</v>
      </c>
      <c r="I932" s="2" t="s">
        <v>62</v>
      </c>
      <c r="J932" s="2" t="s">
        <v>2766</v>
      </c>
      <c r="K932" s="2" t="s">
        <v>63</v>
      </c>
      <c r="L932" s="2" t="s">
        <v>3011</v>
      </c>
      <c r="M932" s="2" t="s">
        <v>2706</v>
      </c>
      <c r="N932" s="2" t="s">
        <v>66</v>
      </c>
      <c r="O932" s="2" t="str">
        <f>_xlfn.IFNA(+VLOOKUP(Maestro_Clientes[[#This Row],[Zona]],Tabla1[[#All],[Cruce Reportes]:[ENTREGA ]],2,0),Maestro_Clientes[[#This Row],[Zona]])</f>
        <v>DIARIA</v>
      </c>
      <c r="P932" s="2" t="str">
        <f>+VLOOKUP(Maestro_Clientes[[#This Row],[Entrega]],Preparacion!A:B,2,0)</f>
        <v>DIARIA</v>
      </c>
    </row>
    <row r="933" spans="1:17" customFormat="1" x14ac:dyDescent="0.25">
      <c r="A933" s="2" t="s">
        <v>5317</v>
      </c>
      <c r="B933" s="2" t="s">
        <v>57</v>
      </c>
      <c r="C933" s="2" t="s">
        <v>58</v>
      </c>
      <c r="D933" s="2" t="s">
        <v>8</v>
      </c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 t="s">
        <v>3158</v>
      </c>
      <c r="P933" s="2" t="str">
        <f>+VLOOKUP(Maestro_Clientes[[#This Row],[Entrega]],Preparacion!A:B,2,0)</f>
        <v>MIERCOLES</v>
      </c>
    </row>
    <row r="934" spans="1:17" customFormat="1" x14ac:dyDescent="0.25">
      <c r="A934" s="2" t="s">
        <v>1183</v>
      </c>
      <c r="B934" s="2" t="s">
        <v>1180</v>
      </c>
      <c r="C934" s="2" t="s">
        <v>1181</v>
      </c>
      <c r="D934" s="2" t="s">
        <v>8</v>
      </c>
      <c r="E934" s="2" t="s">
        <v>1182</v>
      </c>
      <c r="F934" s="2">
        <v>1001</v>
      </c>
      <c r="G934" s="2" t="s">
        <v>9</v>
      </c>
      <c r="H934" s="2" t="s">
        <v>629</v>
      </c>
      <c r="I934" s="2" t="s">
        <v>629</v>
      </c>
      <c r="J934" s="2" t="s">
        <v>2854</v>
      </c>
      <c r="K934" s="2" t="s">
        <v>12</v>
      </c>
      <c r="L934" s="2" t="s">
        <v>630</v>
      </c>
      <c r="M934" s="2" t="s">
        <v>14</v>
      </c>
      <c r="N934" s="2" t="s">
        <v>15</v>
      </c>
      <c r="O934" s="2" t="s">
        <v>3125</v>
      </c>
      <c r="P934" s="2" t="str">
        <f>+VLOOKUP(Maestro_Clientes[[#This Row],[Entrega]],Preparacion!A:B,2,0)</f>
        <v>MARTES</v>
      </c>
    </row>
    <row r="935" spans="1:17" x14ac:dyDescent="0.25">
      <c r="A935" s="2" t="s">
        <v>863</v>
      </c>
      <c r="B935" s="2" t="s">
        <v>858</v>
      </c>
      <c r="C935" s="2" t="s">
        <v>859</v>
      </c>
      <c r="D935" s="2" t="s">
        <v>8</v>
      </c>
      <c r="E935" s="2" t="s">
        <v>861</v>
      </c>
      <c r="F935" s="2">
        <v>1002</v>
      </c>
      <c r="G935" s="2" t="s">
        <v>34</v>
      </c>
      <c r="H935" s="2" t="s">
        <v>860</v>
      </c>
      <c r="I935" s="2" t="s">
        <v>862</v>
      </c>
      <c r="J935" s="2" t="s">
        <v>2821</v>
      </c>
      <c r="K935" s="2" t="s">
        <v>12</v>
      </c>
      <c r="L935" s="2" t="s">
        <v>346</v>
      </c>
      <c r="M935" s="2" t="s">
        <v>39</v>
      </c>
      <c r="N935" s="2" t="s">
        <v>40</v>
      </c>
      <c r="O935" s="2" t="str">
        <f>_xlfn.IFNA(+VLOOKUP(Maestro_Clientes[[#This Row],[Zona]],Tabla1[[#All],[Cruce Reportes]:[ENTREGA ]],2,0),Maestro_Clientes[[#This Row],[Zona]])</f>
        <v>LUNES</v>
      </c>
      <c r="P935" s="2" t="str">
        <f>+VLOOKUP(Maestro_Clientes[[#This Row],[Entrega]],Preparacion!A:B,2,0)</f>
        <v>JUEVES</v>
      </c>
    </row>
    <row r="936" spans="1:17" x14ac:dyDescent="0.25">
      <c r="A936" s="2" t="s">
        <v>4808</v>
      </c>
      <c r="B936" s="2" t="s">
        <v>4809</v>
      </c>
      <c r="C936" s="2" t="s">
        <v>4810</v>
      </c>
      <c r="D936" s="2" t="s">
        <v>8</v>
      </c>
      <c r="E936" s="2" t="s">
        <v>4811</v>
      </c>
      <c r="F936" s="2">
        <v>1034</v>
      </c>
      <c r="G936" s="2" t="s">
        <v>158</v>
      </c>
      <c r="H936" s="2" t="s">
        <v>4812</v>
      </c>
      <c r="I936" s="2" t="s">
        <v>4812</v>
      </c>
      <c r="J936" s="2" t="s">
        <v>4007</v>
      </c>
      <c r="K936" s="2" t="s">
        <v>12</v>
      </c>
      <c r="L936" s="2" t="s">
        <v>3009</v>
      </c>
      <c r="M936" s="2" t="s">
        <v>2706</v>
      </c>
      <c r="N936" s="2" t="s">
        <v>163</v>
      </c>
      <c r="O936" s="2" t="s">
        <v>3068</v>
      </c>
      <c r="P936" s="2" t="str">
        <f>+VLOOKUP(Maestro_Clientes[[#This Row],[Entrega]],Preparacion!A:B,2,0)</f>
        <v>VIERNES</v>
      </c>
      <c r="Q936"/>
    </row>
    <row r="937" spans="1:17" x14ac:dyDescent="0.25">
      <c r="A937" s="2" t="s">
        <v>1195</v>
      </c>
      <c r="B937" s="2" t="s">
        <v>1192</v>
      </c>
      <c r="C937" s="2" t="s">
        <v>1193</v>
      </c>
      <c r="D937" s="2" t="s">
        <v>8</v>
      </c>
      <c r="E937" s="2" t="s">
        <v>1194</v>
      </c>
      <c r="F937" s="2">
        <v>1034</v>
      </c>
      <c r="G937" s="2" t="s">
        <v>158</v>
      </c>
      <c r="H937" s="2" t="s">
        <v>897</v>
      </c>
      <c r="I937" s="2" t="s">
        <v>186</v>
      </c>
      <c r="J937" s="2" t="s">
        <v>2729</v>
      </c>
      <c r="K937" s="2" t="s">
        <v>186</v>
      </c>
      <c r="L937" s="2" t="s">
        <v>3176</v>
      </c>
      <c r="M937" s="2" t="s">
        <v>2706</v>
      </c>
      <c r="N937" s="2" t="s">
        <v>163</v>
      </c>
      <c r="O937" s="2" t="str">
        <f>_xlfn.IFNA(+VLOOKUP(Maestro_Clientes[[#This Row],[Zona]],Tabla1[[#All],[Cruce Reportes]:[ENTREGA ]],2,0),Maestro_Clientes[[#This Row],[Zona]])</f>
        <v>Expreso</v>
      </c>
      <c r="P937" s="2" t="str">
        <f>+VLOOKUP(Maestro_Clientes[[#This Row],[Entrega]],Preparacion!A:B,2,0)</f>
        <v>Expreso</v>
      </c>
      <c r="Q937"/>
    </row>
    <row r="938" spans="1:17" customFormat="1" x14ac:dyDescent="0.25">
      <c r="A938" s="2" t="s">
        <v>5081</v>
      </c>
      <c r="B938" s="2" t="s">
        <v>5080</v>
      </c>
      <c r="C938" s="2" t="s">
        <v>5082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3176</v>
      </c>
      <c r="P938" s="2" t="str">
        <f>+VLOOKUP(Maestro_Clientes[[#This Row],[Entrega]],Preparacion!A:B,2,0)</f>
        <v>Expreso</v>
      </c>
    </row>
    <row r="939" spans="1:17" customFormat="1" x14ac:dyDescent="0.25">
      <c r="A939" s="2" t="s">
        <v>5095</v>
      </c>
      <c r="B939" s="2" t="s">
        <v>5094</v>
      </c>
      <c r="C939" s="2" t="s">
        <v>5096</v>
      </c>
      <c r="D939" s="2" t="s">
        <v>8</v>
      </c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 t="s">
        <v>3125</v>
      </c>
      <c r="P939" s="2" t="str">
        <f>+VLOOKUP(Maestro_Clientes[[#This Row],[Entrega]],Preparacion!A:B,2,0)</f>
        <v>MARTES</v>
      </c>
    </row>
    <row r="940" spans="1:17" customFormat="1" x14ac:dyDescent="0.25">
      <c r="A940" s="2" t="s">
        <v>4816</v>
      </c>
      <c r="B940" s="2" t="s">
        <v>4817</v>
      </c>
      <c r="C940" s="2" t="s">
        <v>4818</v>
      </c>
      <c r="D940" s="2" t="s">
        <v>8</v>
      </c>
      <c r="E940" s="2" t="s">
        <v>4819</v>
      </c>
      <c r="F940" s="2">
        <v>1014</v>
      </c>
      <c r="G940" s="2" t="s">
        <v>59</v>
      </c>
      <c r="H940" s="2" t="s">
        <v>114</v>
      </c>
      <c r="I940" s="2" t="s">
        <v>62</v>
      </c>
      <c r="J940" s="2" t="s">
        <v>4820</v>
      </c>
      <c r="K940" s="2" t="s">
        <v>63</v>
      </c>
      <c r="L940" s="2" t="s">
        <v>3011</v>
      </c>
      <c r="M940" s="2" t="s">
        <v>2706</v>
      </c>
      <c r="N940" s="2" t="s">
        <v>66</v>
      </c>
      <c r="O940" s="2" t="str">
        <f>_xlfn.IFNA(+VLOOKUP(Maestro_Clientes[[#This Row],[Zona]],Tabla1[[#All],[Cruce Reportes]:[ENTREGA ]],2,0),Maestro_Clientes[[#This Row],[Zona]])</f>
        <v>DIARIA</v>
      </c>
      <c r="P940" s="2" t="str">
        <f>+VLOOKUP(Maestro_Clientes[[#This Row],[Entrega]],Preparacion!A:B,2,0)</f>
        <v>DIARIA</v>
      </c>
    </row>
    <row r="941" spans="1:17" customFormat="1" x14ac:dyDescent="0.25">
      <c r="A941" s="2" t="s">
        <v>5107</v>
      </c>
      <c r="B941" s="2" t="s">
        <v>5106</v>
      </c>
      <c r="C941" s="2" t="s">
        <v>5108</v>
      </c>
      <c r="D941" s="2" t="s">
        <v>8</v>
      </c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 t="s">
        <v>3116</v>
      </c>
      <c r="P941" s="2" t="str">
        <f>+VLOOKUP(Maestro_Clientes[[#This Row],[Entrega]],Preparacion!A:B,2,0)</f>
        <v>LUNES</v>
      </c>
    </row>
    <row r="942" spans="1:17" x14ac:dyDescent="0.25">
      <c r="A942" s="2" t="s">
        <v>2364</v>
      </c>
      <c r="B942" s="2" t="s">
        <v>2359</v>
      </c>
      <c r="C942" s="2" t="s">
        <v>2360</v>
      </c>
      <c r="D942" s="2" t="s">
        <v>8</v>
      </c>
      <c r="E942" s="2" t="s">
        <v>2362</v>
      </c>
      <c r="F942" s="2">
        <v>1025</v>
      </c>
      <c r="G942" s="2" t="s">
        <v>113</v>
      </c>
      <c r="H942" s="2" t="s">
        <v>2361</v>
      </c>
      <c r="I942" s="2" t="s">
        <v>2363</v>
      </c>
      <c r="J942" s="2" t="s">
        <v>2971</v>
      </c>
      <c r="K942" s="2" t="s">
        <v>186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  <c r="Q942"/>
    </row>
    <row r="943" spans="1:17" customFormat="1" x14ac:dyDescent="0.25">
      <c r="A943" s="2" t="s">
        <v>1920</v>
      </c>
      <c r="B943" s="2" t="s">
        <v>1915</v>
      </c>
      <c r="C943" s="2" t="s">
        <v>1916</v>
      </c>
      <c r="D943" s="2" t="s">
        <v>8</v>
      </c>
      <c r="E943" s="2" t="s">
        <v>1918</v>
      </c>
      <c r="F943" s="2">
        <v>1025</v>
      </c>
      <c r="G943" s="2" t="s">
        <v>113</v>
      </c>
      <c r="H943" s="2" t="s">
        <v>1917</v>
      </c>
      <c r="I943" s="2" t="s">
        <v>1919</v>
      </c>
      <c r="J943" s="2" t="s">
        <v>2930</v>
      </c>
      <c r="K943" s="2" t="s">
        <v>12</v>
      </c>
      <c r="L943" s="2" t="s">
        <v>3176</v>
      </c>
      <c r="M943" s="2" t="s">
        <v>118</v>
      </c>
      <c r="N943" s="2" t="s">
        <v>119</v>
      </c>
      <c r="O943" s="2" t="str">
        <f>_xlfn.IFNA(+VLOOKUP(Maestro_Clientes[[#This Row],[Zona]],Tabla1[[#All],[Cruce Reportes]:[ENTREGA ]],2,0),Maestro_Clientes[[#This Row],[Zona]])</f>
        <v>Expreso</v>
      </c>
      <c r="P943" s="2" t="str">
        <f>+VLOOKUP(Maestro_Clientes[[#This Row],[Entrega]],Preparacion!A:B,2,0)</f>
        <v>Expreso</v>
      </c>
    </row>
    <row r="944" spans="1:17" customFormat="1" x14ac:dyDescent="0.25">
      <c r="A944" s="2" t="s">
        <v>796</v>
      </c>
      <c r="B944" s="2" t="s">
        <v>792</v>
      </c>
      <c r="C944" s="2" t="s">
        <v>793</v>
      </c>
      <c r="D944" s="2" t="s">
        <v>8</v>
      </c>
      <c r="E944" s="2" t="s">
        <v>795</v>
      </c>
      <c r="F944" s="2">
        <v>1002</v>
      </c>
      <c r="G944" s="2" t="s">
        <v>34</v>
      </c>
      <c r="H944" s="2" t="s">
        <v>794</v>
      </c>
      <c r="I944" s="2" t="s">
        <v>794</v>
      </c>
      <c r="J944" s="2" t="s">
        <v>2814</v>
      </c>
      <c r="K944" s="2" t="s">
        <v>12</v>
      </c>
      <c r="L944" s="2" t="s">
        <v>346</v>
      </c>
      <c r="M944" s="2" t="s">
        <v>39</v>
      </c>
      <c r="N944" s="2" t="s">
        <v>40</v>
      </c>
      <c r="O944" s="2" t="str">
        <f>_xlfn.IFNA(+VLOOKUP(Maestro_Clientes[[#This Row],[Zona]],Tabla1[[#All],[Cruce Reportes]:[ENTREGA ]],2,0),Maestro_Clientes[[#This Row],[Zona]])</f>
        <v>LUNES</v>
      </c>
      <c r="P944" s="2" t="str">
        <f>+VLOOKUP(Maestro_Clientes[[#This Row],[Entrega]],Preparacion!A:B,2,0)</f>
        <v>JUEVES</v>
      </c>
      <c r="Q944" s="2"/>
    </row>
    <row r="945" spans="1:17" customFormat="1" x14ac:dyDescent="0.25">
      <c r="A945" s="2" t="s">
        <v>804</v>
      </c>
      <c r="B945" s="2" t="s">
        <v>801</v>
      </c>
      <c r="C945" s="2" t="s">
        <v>802</v>
      </c>
      <c r="D945" s="2" t="s">
        <v>24</v>
      </c>
      <c r="E945" s="2" t="s">
        <v>2706</v>
      </c>
      <c r="F945" s="2">
        <v>0</v>
      </c>
      <c r="G945" s="2" t="s">
        <v>3176</v>
      </c>
      <c r="H945" s="2" t="s">
        <v>803</v>
      </c>
      <c r="I945" s="2" t="s">
        <v>2706</v>
      </c>
      <c r="J945" s="2" t="s">
        <v>2815</v>
      </c>
      <c r="K945" s="2" t="s">
        <v>12</v>
      </c>
      <c r="L945" s="2" t="s">
        <v>3176</v>
      </c>
      <c r="M945" s="2" t="s">
        <v>2706</v>
      </c>
      <c r="N945" s="2" t="s">
        <v>2706</v>
      </c>
      <c r="O945" s="2" t="str">
        <f>_xlfn.IFNA(+VLOOKUP(Maestro_Clientes[[#This Row],[Zona]],Tabla1[[#All],[Cruce Reportes]:[ENTREGA ]],2,0),Maestro_Clientes[[#This Row],[Zona]])</f>
        <v>Expreso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4979</v>
      </c>
      <c r="B946" s="2" t="s">
        <v>4980</v>
      </c>
      <c r="C946" s="2" t="s">
        <v>4981</v>
      </c>
      <c r="D946" s="2" t="s">
        <v>8</v>
      </c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 t="s">
        <v>3176</v>
      </c>
      <c r="P946" s="2" t="str">
        <f>+VLOOKUP(Maestro_Clientes[[#This Row],[Entrega]],Preparacion!A:B,2,0)</f>
        <v>Expreso</v>
      </c>
    </row>
    <row r="947" spans="1:17" customFormat="1" x14ac:dyDescent="0.25">
      <c r="A947" s="2" t="s">
        <v>93</v>
      </c>
      <c r="B947" s="2" t="s">
        <v>89</v>
      </c>
      <c r="C947" s="2" t="s">
        <v>90</v>
      </c>
      <c r="D947" s="2" t="s">
        <v>8</v>
      </c>
      <c r="E947" s="2" t="s">
        <v>92</v>
      </c>
      <c r="F947" s="2">
        <v>1001</v>
      </c>
      <c r="G947" s="2" t="s">
        <v>9</v>
      </c>
      <c r="H947" s="2" t="s">
        <v>91</v>
      </c>
      <c r="I947" s="2" t="s">
        <v>91</v>
      </c>
      <c r="J947" s="2" t="s">
        <v>2714</v>
      </c>
      <c r="K947" s="2" t="s">
        <v>12</v>
      </c>
      <c r="L947" s="2" t="s">
        <v>85</v>
      </c>
      <c r="M947" s="2" t="s">
        <v>14</v>
      </c>
      <c r="N947" s="2" t="s">
        <v>15</v>
      </c>
      <c r="O947" s="2" t="str">
        <f>_xlfn.IFNA(+VLOOKUP(Maestro_Clientes[[#This Row],[Zona]],Tabla1[[#All],[Cruce Reportes]:[ENTREGA ]],2,0),Maestro_Clientes[[#This Row],[Zona]])</f>
        <v>LUNES</v>
      </c>
      <c r="P947" s="2" t="str">
        <f>+VLOOKUP(Maestro_Clientes[[#This Row],[Entrega]],Preparacion!A:B,2,0)</f>
        <v>JUEVES</v>
      </c>
      <c r="Q947" s="2"/>
    </row>
    <row r="948" spans="1:17" customFormat="1" x14ac:dyDescent="0.25">
      <c r="A948" s="2" t="s">
        <v>4018</v>
      </c>
      <c r="B948" s="2" t="s">
        <v>4019</v>
      </c>
      <c r="C948" s="2" t="s">
        <v>4020</v>
      </c>
      <c r="D948" s="2" t="s">
        <v>8</v>
      </c>
      <c r="E948" s="2" t="s">
        <v>4021</v>
      </c>
      <c r="F948" s="2">
        <v>1028</v>
      </c>
      <c r="G948" s="2" t="s">
        <v>81</v>
      </c>
      <c r="H948" s="2" t="s">
        <v>616</v>
      </c>
      <c r="I948" s="2" t="s">
        <v>616</v>
      </c>
      <c r="J948" s="2" t="s">
        <v>2792</v>
      </c>
      <c r="K948" s="2" t="s">
        <v>12</v>
      </c>
      <c r="L948" s="2" t="s">
        <v>618</v>
      </c>
      <c r="M948" s="2" t="s">
        <v>87</v>
      </c>
      <c r="N948" s="2" t="s">
        <v>88</v>
      </c>
      <c r="O948" s="2" t="s">
        <v>3158</v>
      </c>
      <c r="P948" s="2" t="str">
        <f>+VLOOKUP(Maestro_Clientes[[#This Row],[Entrega]],Preparacion!A:B,2,0)</f>
        <v>MIERCOLES</v>
      </c>
    </row>
    <row r="949" spans="1:17" customFormat="1" x14ac:dyDescent="0.25">
      <c r="A949" s="2" t="s">
        <v>1333</v>
      </c>
      <c r="B949" s="2" t="s">
        <v>1330</v>
      </c>
      <c r="C949" s="2" t="s">
        <v>1331</v>
      </c>
      <c r="D949" s="2" t="s">
        <v>8</v>
      </c>
      <c r="E949" s="2" t="s">
        <v>1332</v>
      </c>
      <c r="F949" s="2">
        <v>1034</v>
      </c>
      <c r="G949" s="2" t="s">
        <v>158</v>
      </c>
      <c r="H949" s="2" t="s">
        <v>184</v>
      </c>
      <c r="I949" s="2" t="s">
        <v>474</v>
      </c>
      <c r="J949" s="2" t="s">
        <v>2772</v>
      </c>
      <c r="K949" s="2" t="s">
        <v>186</v>
      </c>
      <c r="L949" s="2" t="s">
        <v>3176</v>
      </c>
      <c r="M949" s="2" t="s">
        <v>2706</v>
      </c>
      <c r="N949" s="2" t="s">
        <v>163</v>
      </c>
      <c r="O949" s="2" t="str">
        <f>_xlfn.IFNA(+VLOOKUP(Maestro_Clientes[[#This Row],[Zona]],Tabla1[[#All],[Cruce Reportes]:[ENTREGA ]],2,0),Maestro_Clientes[[#This Row],[Zona]])</f>
        <v>Expreso</v>
      </c>
      <c r="P949" s="2" t="str">
        <f>+VLOOKUP(Maestro_Clientes[[#This Row],[Entrega]],Preparacion!A:B,2,0)</f>
        <v>Expreso</v>
      </c>
    </row>
    <row r="950" spans="1:17" customFormat="1" x14ac:dyDescent="0.25">
      <c r="A950" s="2" t="s">
        <v>2415</v>
      </c>
      <c r="B950" s="2" t="s">
        <v>2412</v>
      </c>
      <c r="C950" s="2" t="s">
        <v>2413</v>
      </c>
      <c r="D950" s="2" t="s">
        <v>8</v>
      </c>
      <c r="E950" s="2" t="s">
        <v>2414</v>
      </c>
      <c r="F950" s="2">
        <v>1001</v>
      </c>
      <c r="G950" s="2" t="s">
        <v>9</v>
      </c>
      <c r="H950" s="2" t="s">
        <v>852</v>
      </c>
      <c r="I950" s="2" t="s">
        <v>852</v>
      </c>
      <c r="J950" s="2" t="s">
        <v>2743</v>
      </c>
      <c r="K950" s="2" t="s">
        <v>12</v>
      </c>
      <c r="L950" s="2" t="s">
        <v>85</v>
      </c>
      <c r="M950" s="2" t="s">
        <v>14</v>
      </c>
      <c r="N950" s="2" t="s">
        <v>15</v>
      </c>
      <c r="O950" s="2" t="str">
        <f>_xlfn.IFNA(+VLOOKUP(Maestro_Clientes[[#This Row],[Zona]],Tabla1[[#All],[Cruce Reportes]:[ENTREGA ]],2,0),Maestro_Clientes[[#This Row],[Zona]])</f>
        <v>LUNES</v>
      </c>
      <c r="P950" s="2" t="str">
        <f>+VLOOKUP(Maestro_Clientes[[#This Row],[Entrega]],Preparacion!A:B,2,0)</f>
        <v>JUEVES</v>
      </c>
      <c r="Q950" s="2"/>
    </row>
    <row r="951" spans="1:17" customFormat="1" x14ac:dyDescent="0.25">
      <c r="A951" s="2" t="s">
        <v>3473</v>
      </c>
      <c r="B951" s="2" t="s">
        <v>3474</v>
      </c>
      <c r="C951" s="2" t="s">
        <v>3475</v>
      </c>
      <c r="D951" s="2" t="s">
        <v>8</v>
      </c>
      <c r="E951" s="2" t="s">
        <v>3476</v>
      </c>
      <c r="F951" s="2">
        <v>1002</v>
      </c>
      <c r="G951" s="2" t="s">
        <v>34</v>
      </c>
      <c r="H951" s="2" t="s">
        <v>3477</v>
      </c>
      <c r="I951" s="2" t="s">
        <v>62</v>
      </c>
      <c r="J951" s="2" t="s">
        <v>3478</v>
      </c>
      <c r="K951" s="2" t="s">
        <v>63</v>
      </c>
      <c r="L951" s="2" t="s">
        <v>3068</v>
      </c>
      <c r="M951" s="2" t="s">
        <v>39</v>
      </c>
      <c r="N951" s="2" t="s">
        <v>40</v>
      </c>
      <c r="O951" s="2" t="str">
        <f>_xlfn.IFNA(+VLOOKUP(Maestro_Clientes[[#This Row],[Zona]],Tabla1[[#All],[Cruce Reportes]:[ENTREGA ]],2,0),Maestro_Clientes[[#This Row],[Zona]])</f>
        <v>MARTES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5186</v>
      </c>
      <c r="B952" s="2" t="s">
        <v>5184</v>
      </c>
      <c r="C952" s="2" t="s">
        <v>5185</v>
      </c>
      <c r="D952" s="2" t="s">
        <v>8</v>
      </c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 t="s">
        <v>3068</v>
      </c>
      <c r="P952" s="2" t="str">
        <f>+VLOOKUP(Maestro_Clientes[[#This Row],[Entrega]],Preparacion!A:B,2,0)</f>
        <v>VIERNES</v>
      </c>
    </row>
    <row r="953" spans="1:17" customFormat="1" x14ac:dyDescent="0.25">
      <c r="A953" s="2" t="s">
        <v>4034</v>
      </c>
      <c r="B953" s="2" t="s">
        <v>4035</v>
      </c>
      <c r="C953" s="2" t="s">
        <v>4036</v>
      </c>
      <c r="D953" s="2" t="s">
        <v>8</v>
      </c>
      <c r="E953" s="2" t="s">
        <v>4037</v>
      </c>
      <c r="F953" s="2">
        <v>1034</v>
      </c>
      <c r="G953" s="2" t="s">
        <v>158</v>
      </c>
      <c r="H953" s="2" t="s">
        <v>852</v>
      </c>
      <c r="I953" s="2" t="s">
        <v>852</v>
      </c>
      <c r="J953" s="2" t="s">
        <v>2743</v>
      </c>
      <c r="K953" s="2" t="s">
        <v>12</v>
      </c>
      <c r="L953" s="2" t="s">
        <v>256</v>
      </c>
      <c r="M953" s="2" t="s">
        <v>2706</v>
      </c>
      <c r="N953" s="2" t="s">
        <v>163</v>
      </c>
      <c r="O953" s="2" t="str">
        <f>_xlfn.IFNA(+VLOOKUP(Maestro_Clientes[[#This Row],[Zona]],Tabla1[[#All],[Cruce Reportes]:[ENTREGA ]],2,0),Maestro_Clientes[[#This Row],[Zona]])</f>
        <v>LUNES</v>
      </c>
      <c r="P953" s="2" t="str">
        <f>+VLOOKUP(Maestro_Clientes[[#This Row],[Entrega]],Preparacion!A:B,2,0)</f>
        <v>JUEVES</v>
      </c>
      <c r="Q953" s="2"/>
    </row>
    <row r="954" spans="1:17" customFormat="1" x14ac:dyDescent="0.25">
      <c r="A954" s="2" t="s">
        <v>4173</v>
      </c>
      <c r="B954" s="2" t="s">
        <v>4174</v>
      </c>
      <c r="C954" s="2" t="s">
        <v>4175</v>
      </c>
      <c r="D954" s="2" t="s">
        <v>8</v>
      </c>
      <c r="E954" s="2" t="s">
        <v>4176</v>
      </c>
      <c r="F954" s="2">
        <v>1001</v>
      </c>
      <c r="G954" s="2" t="s">
        <v>9</v>
      </c>
      <c r="H954" s="2" t="s">
        <v>251</v>
      </c>
      <c r="I954" s="2" t="s">
        <v>251</v>
      </c>
      <c r="J954" s="2" t="s">
        <v>2742</v>
      </c>
      <c r="K954" s="2" t="s">
        <v>12</v>
      </c>
      <c r="L954" s="2" t="s">
        <v>3176</v>
      </c>
      <c r="M954" s="2" t="s">
        <v>14</v>
      </c>
      <c r="N954" s="2" t="s">
        <v>15</v>
      </c>
      <c r="O954" s="2" t="str">
        <f>_xlfn.IFNA(+VLOOKUP(Maestro_Clientes[[#This Row],[Zona]],Tabla1[[#All],[Cruce Reportes]:[ENTREGA ]],2,0),Maestro_Clientes[[#This Row],[Zona]])</f>
        <v>Expreso</v>
      </c>
      <c r="P954" s="2" t="str">
        <f>+VLOOKUP(Maestro_Clientes[[#This Row],[Entrega]],Preparacion!A:B,2,0)</f>
        <v>Expreso</v>
      </c>
    </row>
    <row r="955" spans="1:17" customFormat="1" x14ac:dyDescent="0.25">
      <c r="A955" s="2" t="s">
        <v>401</v>
      </c>
      <c r="B955" s="2" t="s">
        <v>396</v>
      </c>
      <c r="C955" s="2" t="s">
        <v>397</v>
      </c>
      <c r="D955" s="2" t="s">
        <v>8</v>
      </c>
      <c r="E955" s="2" t="s">
        <v>399</v>
      </c>
      <c r="F955" s="2">
        <v>1002</v>
      </c>
      <c r="G955" s="2" t="s">
        <v>34</v>
      </c>
      <c r="H955" s="2" t="s">
        <v>398</v>
      </c>
      <c r="I955" s="2" t="s">
        <v>398</v>
      </c>
      <c r="J955" s="2" t="s">
        <v>2764</v>
      </c>
      <c r="K955" s="2" t="s">
        <v>12</v>
      </c>
      <c r="L955" s="2" t="s">
        <v>400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MARTES</v>
      </c>
      <c r="P955" s="2" t="str">
        <f>+VLOOKUP(Maestro_Clientes[[#This Row],[Entrega]],Preparacion!A:B,2,0)</f>
        <v>VIERNES</v>
      </c>
    </row>
    <row r="956" spans="1:17" customFormat="1" x14ac:dyDescent="0.25">
      <c r="A956" s="2" t="s">
        <v>2637</v>
      </c>
      <c r="B956" s="2" t="s">
        <v>2634</v>
      </c>
      <c r="C956" s="2" t="s">
        <v>2635</v>
      </c>
      <c r="D956" s="2" t="s">
        <v>8</v>
      </c>
      <c r="E956" s="2" t="s">
        <v>2636</v>
      </c>
      <c r="F956" s="2">
        <v>1002</v>
      </c>
      <c r="G956" s="2" t="s">
        <v>34</v>
      </c>
      <c r="H956" s="2" t="s">
        <v>329</v>
      </c>
      <c r="I956" s="2" t="s">
        <v>329</v>
      </c>
      <c r="J956" s="2" t="s">
        <v>2754</v>
      </c>
      <c r="K956" s="2" t="s">
        <v>12</v>
      </c>
      <c r="L956" s="2" t="s">
        <v>329</v>
      </c>
      <c r="M956" s="2" t="s">
        <v>39</v>
      </c>
      <c r="N956" s="2" t="s">
        <v>40</v>
      </c>
      <c r="O956" s="2" t="str">
        <f>_xlfn.IFNA(+VLOOKUP(Maestro_Clientes[[#This Row],[Zona]],Tabla1[[#All],[Cruce Reportes]:[ENTREGA ]],2,0),Maestro_Clientes[[#This Row],[Zona]])</f>
        <v>MIERCOLES</v>
      </c>
      <c r="P956" s="2" t="str">
        <f>+VLOOKUP(Maestro_Clientes[[#This Row],[Entrega]],Preparacion!A:B,2,0)</f>
        <v>LUNES</v>
      </c>
    </row>
    <row r="957" spans="1:17" customFormat="1" x14ac:dyDescent="0.25">
      <c r="A957" s="2" t="s">
        <v>2652</v>
      </c>
      <c r="B957" s="2" t="s">
        <v>2649</v>
      </c>
      <c r="C957" s="2" t="s">
        <v>2650</v>
      </c>
      <c r="D957" s="2" t="s">
        <v>8</v>
      </c>
      <c r="E957" s="2" t="s">
        <v>2651</v>
      </c>
      <c r="F957" s="2">
        <v>1001</v>
      </c>
      <c r="G957" s="2" t="s">
        <v>9</v>
      </c>
      <c r="H957" s="2" t="s">
        <v>616</v>
      </c>
      <c r="I957" s="2" t="s">
        <v>616</v>
      </c>
      <c r="J957" s="2" t="s">
        <v>2792</v>
      </c>
      <c r="K957" s="2" t="s">
        <v>12</v>
      </c>
      <c r="L957" s="2" t="s">
        <v>618</v>
      </c>
      <c r="M957" s="2" t="s">
        <v>14</v>
      </c>
      <c r="N957" s="2" t="s">
        <v>15</v>
      </c>
      <c r="O957" s="2" t="s">
        <v>3158</v>
      </c>
      <c r="P957" s="2" t="str">
        <f>+VLOOKUP(Maestro_Clientes[[#This Row],[Entrega]],Preparacion!A:B,2,0)</f>
        <v>MIERCOLES</v>
      </c>
    </row>
    <row r="958" spans="1:17" customFormat="1" x14ac:dyDescent="0.25">
      <c r="A958" s="2" t="s">
        <v>644</v>
      </c>
      <c r="B958" s="2" t="s">
        <v>639</v>
      </c>
      <c r="C958" s="2" t="s">
        <v>640</v>
      </c>
      <c r="D958" s="2" t="s">
        <v>8</v>
      </c>
      <c r="E958" s="2" t="s">
        <v>642</v>
      </c>
      <c r="F958" s="2">
        <v>1034</v>
      </c>
      <c r="G958" s="2" t="s">
        <v>158</v>
      </c>
      <c r="H958" s="2" t="s">
        <v>641</v>
      </c>
      <c r="I958" s="2" t="s">
        <v>641</v>
      </c>
      <c r="J958" s="2" t="s">
        <v>2795</v>
      </c>
      <c r="K958" s="2" t="s">
        <v>12</v>
      </c>
      <c r="L958" s="2" t="s">
        <v>643</v>
      </c>
      <c r="M958" s="2" t="s">
        <v>2706</v>
      </c>
      <c r="N958" s="2" t="s">
        <v>163</v>
      </c>
      <c r="O958" s="2" t="str">
        <f>_xlfn.IFNA(+VLOOKUP(Maestro_Clientes[[#This Row],[Zona]],Tabla1[[#All],[Cruce Reportes]:[ENTREGA ]],2,0),Maestro_Clientes[[#This Row],[Zona]])</f>
        <v>LUNES</v>
      </c>
      <c r="P958" s="2" t="str">
        <f>+VLOOKUP(Maestro_Clientes[[#This Row],[Entrega]],Preparacion!A:B,2,0)</f>
        <v>JUEVES</v>
      </c>
      <c r="Q958" s="2"/>
    </row>
    <row r="959" spans="1:17" customFormat="1" x14ac:dyDescent="0.25">
      <c r="A959" s="2" t="s">
        <v>2315</v>
      </c>
      <c r="B959" s="2" t="s">
        <v>2311</v>
      </c>
      <c r="C959" s="2" t="s">
        <v>2312</v>
      </c>
      <c r="D959" s="2" t="s">
        <v>8</v>
      </c>
      <c r="E959" s="2" t="s">
        <v>2313</v>
      </c>
      <c r="F959" s="2">
        <v>1014</v>
      </c>
      <c r="G959" s="2" t="s">
        <v>59</v>
      </c>
      <c r="H959" s="2" t="s">
        <v>173</v>
      </c>
      <c r="I959" s="2" t="s">
        <v>2314</v>
      </c>
      <c r="J959" s="2" t="s">
        <v>2964</v>
      </c>
      <c r="K959" s="2" t="s">
        <v>169</v>
      </c>
      <c r="L959" s="2" t="s">
        <v>3176</v>
      </c>
      <c r="M959" s="2" t="s">
        <v>2706</v>
      </c>
      <c r="N959" s="2" t="s">
        <v>66</v>
      </c>
      <c r="O959" s="2" t="str">
        <f>_xlfn.IFNA(+VLOOKUP(Maestro_Clientes[[#This Row],[Zona]],Tabla1[[#All],[Cruce Reportes]:[ENTREGA ]],2,0),Maestro_Clientes[[#This Row],[Zona]])</f>
        <v>Expreso</v>
      </c>
      <c r="P959" s="2" t="str">
        <f>+VLOOKUP(Maestro_Clientes[[#This Row],[Entrega]],Preparacion!A:B,2,0)</f>
        <v>Expreso</v>
      </c>
    </row>
    <row r="960" spans="1:17" customFormat="1" x14ac:dyDescent="0.25">
      <c r="A960" s="2" t="s">
        <v>3980</v>
      </c>
      <c r="B960" s="2" t="s">
        <v>3981</v>
      </c>
      <c r="C960" s="2" t="s">
        <v>3982</v>
      </c>
      <c r="D960" s="2" t="s">
        <v>8</v>
      </c>
      <c r="E960" s="2" t="s">
        <v>3983</v>
      </c>
      <c r="F960" s="2">
        <v>1028</v>
      </c>
      <c r="G960" s="2" t="s">
        <v>81</v>
      </c>
      <c r="H960" s="2" t="s">
        <v>578</v>
      </c>
      <c r="I960" s="2" t="s">
        <v>578</v>
      </c>
      <c r="J960" s="2" t="s">
        <v>3984</v>
      </c>
      <c r="K960" s="2" t="s">
        <v>12</v>
      </c>
      <c r="L960" s="2" t="s">
        <v>578</v>
      </c>
      <c r="M960" s="2" t="s">
        <v>87</v>
      </c>
      <c r="N960" s="2" t="s">
        <v>88</v>
      </c>
      <c r="O960" s="2" t="s">
        <v>3158</v>
      </c>
      <c r="P960" s="2" t="str">
        <f>+VLOOKUP(Maestro_Clientes[[#This Row],[Entrega]],Preparacion!A:B,2,0)</f>
        <v>MIERCOLES</v>
      </c>
    </row>
    <row r="961" spans="1:17" x14ac:dyDescent="0.25">
      <c r="A961" s="2" t="s">
        <v>4948</v>
      </c>
      <c r="B961" s="2" t="s">
        <v>4930</v>
      </c>
      <c r="C961" s="2" t="s">
        <v>4965</v>
      </c>
      <c r="O961" s="2" t="s">
        <v>3176</v>
      </c>
      <c r="P961" s="2" t="str">
        <f>+VLOOKUP(Maestro_Clientes[[#This Row],[Entrega]],Preparacion!A:B,2,0)</f>
        <v>Expreso</v>
      </c>
      <c r="Q961"/>
    </row>
    <row r="962" spans="1:17" x14ac:dyDescent="0.25">
      <c r="A962" s="2" t="s">
        <v>3906</v>
      </c>
      <c r="B962" s="2" t="s">
        <v>3907</v>
      </c>
      <c r="C962" s="2" t="s">
        <v>3908</v>
      </c>
      <c r="D962" s="2" t="s">
        <v>8</v>
      </c>
      <c r="E962" s="2" t="s">
        <v>3909</v>
      </c>
      <c r="F962" s="2">
        <v>1025</v>
      </c>
      <c r="G962" s="2" t="s">
        <v>113</v>
      </c>
      <c r="H962" s="2" t="s">
        <v>173</v>
      </c>
      <c r="I962" s="2" t="s">
        <v>3910</v>
      </c>
      <c r="J962" s="2" t="s">
        <v>2918</v>
      </c>
      <c r="K962" s="2" t="s">
        <v>281</v>
      </c>
      <c r="L962" s="2" t="s">
        <v>3176</v>
      </c>
      <c r="M962" s="2" t="s">
        <v>118</v>
      </c>
      <c r="N962" s="2" t="s">
        <v>119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  <c r="Q962"/>
    </row>
    <row r="963" spans="1:17" customFormat="1" x14ac:dyDescent="0.25">
      <c r="A963" s="2" t="s">
        <v>2228</v>
      </c>
      <c r="B963" s="2" t="s">
        <v>2224</v>
      </c>
      <c r="C963" s="2" t="s">
        <v>2225</v>
      </c>
      <c r="D963" s="2" t="s">
        <v>8</v>
      </c>
      <c r="E963" s="2" t="s">
        <v>2227</v>
      </c>
      <c r="F963" s="2">
        <v>1014</v>
      </c>
      <c r="G963" s="2" t="s">
        <v>59</v>
      </c>
      <c r="H963" s="2" t="s">
        <v>2226</v>
      </c>
      <c r="I963" s="2" t="s">
        <v>480</v>
      </c>
      <c r="J963" s="2" t="s">
        <v>2773</v>
      </c>
      <c r="K963" s="2" t="s">
        <v>186</v>
      </c>
      <c r="L963" s="2" t="s">
        <v>3176</v>
      </c>
      <c r="M963" s="2" t="s">
        <v>2706</v>
      </c>
      <c r="N963" s="2" t="s">
        <v>66</v>
      </c>
      <c r="O963" s="2" t="str">
        <f>_xlfn.IFNA(+VLOOKUP(Maestro_Clientes[[#This Row],[Zona]],Tabla1[[#All],[Cruce Reportes]:[ENTREGA ]],2,0),Maestro_Clientes[[#This Row],[Zona]])</f>
        <v>Expreso</v>
      </c>
      <c r="P963" s="2" t="str">
        <f>+VLOOKUP(Maestro_Clientes[[#This Row],[Entrega]],Preparacion!A:B,2,0)</f>
        <v>Expreso</v>
      </c>
    </row>
    <row r="964" spans="1:17" x14ac:dyDescent="0.25">
      <c r="A964" s="2" t="s">
        <v>3468</v>
      </c>
      <c r="B964" s="2" t="s">
        <v>3469</v>
      </c>
      <c r="C964" s="2" t="s">
        <v>3470</v>
      </c>
      <c r="D964" s="2" t="s">
        <v>8</v>
      </c>
      <c r="E964" s="2" t="s">
        <v>3471</v>
      </c>
      <c r="F964" s="2">
        <v>1028</v>
      </c>
      <c r="G964" s="2" t="s">
        <v>81</v>
      </c>
      <c r="H964" s="2" t="s">
        <v>3472</v>
      </c>
      <c r="I964" s="2" t="s">
        <v>63</v>
      </c>
      <c r="J964" s="2" t="s">
        <v>2904</v>
      </c>
      <c r="K964" s="2" t="s">
        <v>63</v>
      </c>
      <c r="L964" s="2" t="s">
        <v>3068</v>
      </c>
      <c r="M964" s="2" t="s">
        <v>87</v>
      </c>
      <c r="N964" s="2" t="s">
        <v>88</v>
      </c>
      <c r="O964" s="2" t="str">
        <f>_xlfn.IFNA(+VLOOKUP(Maestro_Clientes[[#This Row],[Zona]],Tabla1[[#All],[Cruce Reportes]:[ENTREGA ]],2,0),Maestro_Clientes[[#This Row],[Zona]])</f>
        <v>MARTES</v>
      </c>
      <c r="P964" s="2" t="str">
        <f>+VLOOKUP(Maestro_Clientes[[#This Row],[Entrega]],Preparacion!A:B,2,0)</f>
        <v>VIERNES</v>
      </c>
      <c r="Q964"/>
    </row>
    <row r="965" spans="1:17" customFormat="1" x14ac:dyDescent="0.25">
      <c r="A965" s="2" t="s">
        <v>1482</v>
      </c>
      <c r="B965" s="2" t="s">
        <v>1477</v>
      </c>
      <c r="C965" s="2" t="s">
        <v>1478</v>
      </c>
      <c r="D965" s="2" t="s">
        <v>8</v>
      </c>
      <c r="E965" s="2" t="s">
        <v>1480</v>
      </c>
      <c r="F965" s="2">
        <v>0</v>
      </c>
      <c r="G965" s="2" t="s">
        <v>3176</v>
      </c>
      <c r="H965" s="2" t="s">
        <v>1479</v>
      </c>
      <c r="I965" s="2" t="s">
        <v>63</v>
      </c>
      <c r="J965" s="2" t="s">
        <v>2828</v>
      </c>
      <c r="K965" s="2" t="s">
        <v>63</v>
      </c>
      <c r="L965" s="2" t="s">
        <v>3068</v>
      </c>
      <c r="M965" s="2" t="s">
        <v>2706</v>
      </c>
      <c r="N965" s="2" t="s">
        <v>2706</v>
      </c>
      <c r="O965" s="2" t="s">
        <v>3116</v>
      </c>
      <c r="P965" s="2" t="str">
        <f>+VLOOKUP(Maestro_Clientes[[#This Row],[Entrega]],Preparacion!A:B,2,0)</f>
        <v>LUNES</v>
      </c>
    </row>
    <row r="966" spans="1:17" customFormat="1" x14ac:dyDescent="0.25">
      <c r="A966" s="2" t="s">
        <v>4868</v>
      </c>
      <c r="B966" s="2" t="s">
        <v>4869</v>
      </c>
      <c r="C966" s="2" t="s">
        <v>4870</v>
      </c>
      <c r="D966" s="2" t="s">
        <v>8</v>
      </c>
      <c r="E966" s="2" t="s">
        <v>4871</v>
      </c>
      <c r="F966" s="2">
        <v>1034</v>
      </c>
      <c r="G966" s="2" t="s">
        <v>158</v>
      </c>
      <c r="H966" s="2" t="s">
        <v>1137</v>
      </c>
      <c r="I966" s="2" t="s">
        <v>530</v>
      </c>
      <c r="J966" s="2" t="s">
        <v>2780</v>
      </c>
      <c r="K966" s="2" t="s">
        <v>531</v>
      </c>
      <c r="L966" s="2" t="s">
        <v>3009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1236</v>
      </c>
      <c r="B967" s="2" t="s">
        <v>1232</v>
      </c>
      <c r="C967" s="2" t="s">
        <v>1233</v>
      </c>
      <c r="D967" s="2" t="s">
        <v>8</v>
      </c>
      <c r="E967" s="2" t="s">
        <v>1234</v>
      </c>
      <c r="F967" s="2">
        <v>1034</v>
      </c>
      <c r="G967" s="2" t="s">
        <v>158</v>
      </c>
      <c r="H967" s="2" t="s">
        <v>184</v>
      </c>
      <c r="I967" s="2" t="s">
        <v>1235</v>
      </c>
      <c r="J967" s="2" t="s">
        <v>2859</v>
      </c>
      <c r="K967" s="2" t="s">
        <v>186</v>
      </c>
      <c r="L967" s="2" t="s">
        <v>3176</v>
      </c>
      <c r="M967" s="2" t="s">
        <v>2706</v>
      </c>
      <c r="N967" s="2" t="s">
        <v>163</v>
      </c>
      <c r="O967" s="2" t="str">
        <f>_xlfn.IFNA(+VLOOKUP(Maestro_Clientes[[#This Row],[Zona]],Tabla1[[#All],[Cruce Reportes]:[ENTREGA ]],2,0),Maestro_Clientes[[#This Row],[Zona]])</f>
        <v>Expreso</v>
      </c>
      <c r="P967" s="2" t="str">
        <f>+VLOOKUP(Maestro_Clientes[[#This Row],[Entrega]],Preparacion!A:B,2,0)</f>
        <v>Expreso</v>
      </c>
    </row>
    <row r="968" spans="1:17" customFormat="1" x14ac:dyDescent="0.25">
      <c r="A968" s="2" t="s">
        <v>1433</v>
      </c>
      <c r="B968" s="2" t="s">
        <v>1430</v>
      </c>
      <c r="C968" s="2" t="s">
        <v>1431</v>
      </c>
      <c r="D968" s="2" t="s">
        <v>8</v>
      </c>
      <c r="E968" s="2" t="s">
        <v>1432</v>
      </c>
      <c r="F968" s="2">
        <v>1002</v>
      </c>
      <c r="G968" s="2" t="s">
        <v>34</v>
      </c>
      <c r="H968" s="2" t="s">
        <v>104</v>
      </c>
      <c r="I968" s="2" t="s">
        <v>104</v>
      </c>
      <c r="J968" s="2" t="s">
        <v>2716</v>
      </c>
      <c r="K968" s="2" t="s">
        <v>12</v>
      </c>
      <c r="L968" s="2" t="s">
        <v>104</v>
      </c>
      <c r="M968" s="2" t="s">
        <v>39</v>
      </c>
      <c r="N968" s="2" t="s">
        <v>40</v>
      </c>
      <c r="O968" s="2" t="s">
        <v>3158</v>
      </c>
      <c r="P968" s="2" t="str">
        <f>+VLOOKUP(Maestro_Clientes[[#This Row],[Entrega]],Preparacion!A:B,2,0)</f>
        <v>MIERCOLES</v>
      </c>
    </row>
    <row r="969" spans="1:17" customFormat="1" x14ac:dyDescent="0.25">
      <c r="A969" s="2" t="s">
        <v>2613</v>
      </c>
      <c r="B969" s="2" t="s">
        <v>2609</v>
      </c>
      <c r="C969" s="2" t="s">
        <v>2610</v>
      </c>
      <c r="D969" s="2" t="s">
        <v>8</v>
      </c>
      <c r="E969" s="2" t="s">
        <v>2612</v>
      </c>
      <c r="F969" s="2">
        <v>1025</v>
      </c>
      <c r="G969" s="2" t="s">
        <v>113</v>
      </c>
      <c r="H969" s="2" t="s">
        <v>2611</v>
      </c>
      <c r="I969" s="2" t="s">
        <v>1902</v>
      </c>
      <c r="J969" s="2" t="s">
        <v>2928</v>
      </c>
      <c r="K969" s="2" t="s">
        <v>12</v>
      </c>
      <c r="L969" s="2" t="s">
        <v>3176</v>
      </c>
      <c r="M969" s="2" t="s">
        <v>118</v>
      </c>
      <c r="N969" s="2" t="s">
        <v>119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</row>
    <row r="970" spans="1:17" x14ac:dyDescent="0.25">
      <c r="A970" s="2" t="s">
        <v>1495</v>
      </c>
      <c r="B970" s="2" t="s">
        <v>1491</v>
      </c>
      <c r="C970" s="2" t="s">
        <v>1492</v>
      </c>
      <c r="D970" s="2" t="s">
        <v>8</v>
      </c>
      <c r="E970" s="2" t="s">
        <v>1494</v>
      </c>
      <c r="F970" s="2">
        <v>0</v>
      </c>
      <c r="G970" s="2" t="s">
        <v>3176</v>
      </c>
      <c r="H970" s="2" t="s">
        <v>1493</v>
      </c>
      <c r="I970" s="2" t="s">
        <v>1493</v>
      </c>
      <c r="J970" s="2" t="s">
        <v>2888</v>
      </c>
      <c r="K970" s="2" t="s">
        <v>12</v>
      </c>
      <c r="L970" s="2" t="s">
        <v>3176</v>
      </c>
      <c r="M970" s="2" t="s">
        <v>2706</v>
      </c>
      <c r="N970" s="2" t="s">
        <v>2706</v>
      </c>
      <c r="O970" s="2" t="str">
        <f>_xlfn.IFNA(+VLOOKUP(Maestro_Clientes[[#This Row],[Zona]],Tabla1[[#All],[Cruce Reportes]:[ENTREGA ]],2,0),Maestro_Clientes[[#This Row],[Zona]])</f>
        <v>Expreso</v>
      </c>
      <c r="P970" s="2" t="str">
        <f>+VLOOKUP(Maestro_Clientes[[#This Row],[Entrega]],Preparacion!A:B,2,0)</f>
        <v>Expreso</v>
      </c>
      <c r="Q970"/>
    </row>
    <row r="971" spans="1:17" customFormat="1" x14ac:dyDescent="0.25">
      <c r="A971" s="2" t="s">
        <v>4880</v>
      </c>
      <c r="B971" s="2" t="s">
        <v>1491</v>
      </c>
      <c r="C971" s="2" t="s">
        <v>1492</v>
      </c>
      <c r="D971" s="2" t="s">
        <v>8</v>
      </c>
      <c r="E971" s="2" t="s">
        <v>4881</v>
      </c>
      <c r="F971" s="2">
        <v>1001</v>
      </c>
      <c r="G971" s="2" t="s">
        <v>9</v>
      </c>
      <c r="H971" s="2" t="s">
        <v>394</v>
      </c>
      <c r="I971" s="2" t="s">
        <v>394</v>
      </c>
      <c r="J971" s="2" t="s">
        <v>2767</v>
      </c>
      <c r="K971" s="2" t="s">
        <v>12</v>
      </c>
      <c r="L971" s="2" t="s">
        <v>3158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</row>
    <row r="972" spans="1:17" x14ac:dyDescent="0.25">
      <c r="A972" s="2" t="s">
        <v>501</v>
      </c>
      <c r="B972" s="2" t="s">
        <v>498</v>
      </c>
      <c r="C972" s="2" t="s">
        <v>499</v>
      </c>
      <c r="D972" s="2" t="s">
        <v>8</v>
      </c>
      <c r="E972" s="2" t="s">
        <v>500</v>
      </c>
      <c r="F972" s="2">
        <v>1001</v>
      </c>
      <c r="G972" s="2" t="s">
        <v>9</v>
      </c>
      <c r="H972" s="2" t="s">
        <v>451</v>
      </c>
      <c r="I972" s="2" t="s">
        <v>451</v>
      </c>
      <c r="J972" s="2" t="s">
        <v>2770</v>
      </c>
      <c r="K972" s="2" t="s">
        <v>12</v>
      </c>
      <c r="L972" s="2" t="s">
        <v>451</v>
      </c>
      <c r="M972" s="2" t="s">
        <v>14</v>
      </c>
      <c r="N972" s="2" t="s">
        <v>15</v>
      </c>
      <c r="O972" s="2" t="s">
        <v>3125</v>
      </c>
      <c r="P972" s="2" t="str">
        <f>+VLOOKUP(Maestro_Clientes[[#This Row],[Entrega]],Preparacion!A:B,2,0)</f>
        <v>MARTES</v>
      </c>
      <c r="Q972"/>
    </row>
    <row r="973" spans="1:17" customFormat="1" x14ac:dyDescent="0.25">
      <c r="A973" s="2" t="s">
        <v>4859</v>
      </c>
      <c r="B973" s="2" t="s">
        <v>4860</v>
      </c>
      <c r="C973" s="2" t="s">
        <v>4861</v>
      </c>
      <c r="D973" s="2" t="s">
        <v>8</v>
      </c>
      <c r="E973" s="2" t="s">
        <v>4862</v>
      </c>
      <c r="F973" s="2">
        <v>1014</v>
      </c>
      <c r="G973" s="2" t="s">
        <v>59</v>
      </c>
      <c r="H973" s="2" t="s">
        <v>4863</v>
      </c>
      <c r="I973" s="2" t="s">
        <v>2560</v>
      </c>
      <c r="J973" s="2" t="s">
        <v>2993</v>
      </c>
      <c r="K973" s="2" t="s">
        <v>12</v>
      </c>
      <c r="L973" s="2" t="s">
        <v>3009</v>
      </c>
      <c r="M973" s="2" t="s">
        <v>2706</v>
      </c>
      <c r="N973" s="2" t="s">
        <v>66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1926</v>
      </c>
      <c r="B974" s="2" t="s">
        <v>1921</v>
      </c>
      <c r="C974" s="2" t="s">
        <v>1922</v>
      </c>
      <c r="D974" s="2" t="s">
        <v>8</v>
      </c>
      <c r="E974" s="2" t="s">
        <v>1924</v>
      </c>
      <c r="F974" s="2">
        <v>1018</v>
      </c>
      <c r="G974" s="2" t="s">
        <v>1886</v>
      </c>
      <c r="H974" s="2" t="s">
        <v>1923</v>
      </c>
      <c r="I974" s="2" t="s">
        <v>1925</v>
      </c>
      <c r="J974" s="2" t="s">
        <v>2931</v>
      </c>
      <c r="K974" s="2" t="s">
        <v>12</v>
      </c>
      <c r="L974" s="2" t="s">
        <v>3176</v>
      </c>
      <c r="M974" s="2" t="s">
        <v>1887</v>
      </c>
      <c r="N974" s="2" t="s">
        <v>1888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238</v>
      </c>
      <c r="B975" s="2" t="s">
        <v>233</v>
      </c>
      <c r="C975" s="2" t="s">
        <v>234</v>
      </c>
      <c r="D975" s="2" t="s">
        <v>8</v>
      </c>
      <c r="E975" s="2" t="s">
        <v>236</v>
      </c>
      <c r="F975" s="2">
        <v>1034</v>
      </c>
      <c r="G975" s="2" t="s">
        <v>158</v>
      </c>
      <c r="H975" s="2" t="s">
        <v>235</v>
      </c>
      <c r="I975" s="2" t="s">
        <v>237</v>
      </c>
      <c r="J975" s="2" t="s">
        <v>2738</v>
      </c>
      <c r="K975" s="2" t="s">
        <v>237</v>
      </c>
      <c r="L975" s="2" t="s">
        <v>3176</v>
      </c>
      <c r="M975" s="2" t="s">
        <v>2706</v>
      </c>
      <c r="N975" s="2" t="s">
        <v>163</v>
      </c>
      <c r="O975" s="2" t="str">
        <f>_xlfn.IFNA(+VLOOKUP(Maestro_Clientes[[#This Row],[Zona]],Tabla1[[#All],[Cruce Reportes]:[ENTREGA ]],2,0),Maestro_Clientes[[#This Row],[Zona]])</f>
        <v>Expreso</v>
      </c>
      <c r="P975" s="2" t="str">
        <f>+VLOOKUP(Maestro_Clientes[[#This Row],[Entrega]],Preparacion!A:B,2,0)</f>
        <v>Expreso</v>
      </c>
    </row>
    <row r="976" spans="1:17" customFormat="1" x14ac:dyDescent="0.25">
      <c r="A976" s="2" t="s">
        <v>3479</v>
      </c>
      <c r="B976" s="2" t="s">
        <v>3480</v>
      </c>
      <c r="C976" s="2" t="s">
        <v>3481</v>
      </c>
      <c r="D976" s="2" t="s">
        <v>8</v>
      </c>
      <c r="E976" s="2" t="s">
        <v>3482</v>
      </c>
      <c r="F976" s="2">
        <v>1028</v>
      </c>
      <c r="G976" s="2" t="s">
        <v>81</v>
      </c>
      <c r="H976" s="2" t="s">
        <v>3483</v>
      </c>
      <c r="I976" s="2" t="s">
        <v>63</v>
      </c>
      <c r="J976" s="2" t="s">
        <v>2891</v>
      </c>
      <c r="K976" s="2" t="s">
        <v>63</v>
      </c>
      <c r="L976" s="2" t="s">
        <v>3068</v>
      </c>
      <c r="M976" s="2" t="s">
        <v>87</v>
      </c>
      <c r="N976" s="2" t="s">
        <v>88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1638</v>
      </c>
      <c r="B977" s="2" t="s">
        <v>1634</v>
      </c>
      <c r="C977" s="2" t="s">
        <v>1635</v>
      </c>
      <c r="D977" s="2" t="s">
        <v>8</v>
      </c>
      <c r="E977" s="2" t="s">
        <v>1637</v>
      </c>
      <c r="F977" s="2">
        <v>1025</v>
      </c>
      <c r="G977" s="2" t="s">
        <v>113</v>
      </c>
      <c r="H977" s="2" t="s">
        <v>1636</v>
      </c>
      <c r="I977" s="2" t="s">
        <v>62</v>
      </c>
      <c r="J977" s="2" t="s">
        <v>2719</v>
      </c>
      <c r="K977" s="2" t="s">
        <v>63</v>
      </c>
      <c r="L977" s="2" t="s">
        <v>3068</v>
      </c>
      <c r="M977" s="2" t="s">
        <v>118</v>
      </c>
      <c r="N977" s="2" t="s">
        <v>119</v>
      </c>
      <c r="O977" s="2" t="s">
        <v>3116</v>
      </c>
      <c r="P977" s="2" t="str">
        <f>+VLOOKUP(Maestro_Clientes[[#This Row],[Entrega]],Preparacion!A:B,2,0)</f>
        <v>LUNES</v>
      </c>
    </row>
    <row r="978" spans="1:17" customFormat="1" x14ac:dyDescent="0.25">
      <c r="A978" s="2" t="s">
        <v>1514</v>
      </c>
      <c r="B978" s="2" t="s">
        <v>1509</v>
      </c>
      <c r="C978" s="2" t="s">
        <v>1510</v>
      </c>
      <c r="D978" s="2" t="s">
        <v>8</v>
      </c>
      <c r="E978" s="2" t="s">
        <v>1512</v>
      </c>
      <c r="F978" s="2">
        <v>1028</v>
      </c>
      <c r="G978" s="2" t="s">
        <v>81</v>
      </c>
      <c r="H978" s="2" t="s">
        <v>1511</v>
      </c>
      <c r="I978" s="2" t="s">
        <v>62</v>
      </c>
      <c r="J978" s="2" t="s">
        <v>2891</v>
      </c>
      <c r="K978" s="2" t="s">
        <v>63</v>
      </c>
      <c r="L978" s="2" t="s">
        <v>3068</v>
      </c>
      <c r="M978" s="2" t="s">
        <v>87</v>
      </c>
      <c r="N978" s="2" t="s">
        <v>88</v>
      </c>
      <c r="O978" s="2" t="s">
        <v>3116</v>
      </c>
      <c r="P978" s="2" t="str">
        <f>+VLOOKUP(Maestro_Clientes[[#This Row],[Entrega]],Preparacion!A:B,2,0)</f>
        <v>LUNES</v>
      </c>
    </row>
    <row r="979" spans="1:17" x14ac:dyDescent="0.25">
      <c r="A979" s="2" t="s">
        <v>4864</v>
      </c>
      <c r="B979" s="2" t="s">
        <v>4865</v>
      </c>
      <c r="C979" s="2" t="s">
        <v>4866</v>
      </c>
      <c r="D979" s="2" t="s">
        <v>8</v>
      </c>
      <c r="E979" s="2" t="s">
        <v>4867</v>
      </c>
      <c r="F979" s="2">
        <v>0</v>
      </c>
      <c r="G979" s="2" t="s">
        <v>3176</v>
      </c>
      <c r="H979" s="2" t="s">
        <v>730</v>
      </c>
      <c r="I979" s="2" t="s">
        <v>730</v>
      </c>
      <c r="J979" s="2" t="s">
        <v>2805</v>
      </c>
      <c r="K979" s="2" t="s">
        <v>12</v>
      </c>
      <c r="L979" s="2" t="s">
        <v>3009</v>
      </c>
      <c r="M979" s="2" t="s">
        <v>2706</v>
      </c>
      <c r="N979" s="2" t="s">
        <v>2706</v>
      </c>
      <c r="O979" s="2" t="str">
        <f>_xlfn.IFNA(+VLOOKUP(Maestro_Clientes[[#This Row],[Zona]],Tabla1[[#All],[Cruce Reportes]:[ENTREGA ]],2,0),Maestro_Clientes[[#This Row],[Zona]])</f>
        <v>EXPRESO</v>
      </c>
      <c r="P979" s="2" t="str">
        <f>+VLOOKUP(Maestro_Clientes[[#This Row],[Entrega]],Preparacion!A:B,2,0)</f>
        <v>Expreso</v>
      </c>
      <c r="Q979"/>
    </row>
    <row r="980" spans="1:17" customFormat="1" x14ac:dyDescent="0.25">
      <c r="A980" s="2" t="s">
        <v>3192</v>
      </c>
      <c r="B980" s="2" t="s">
        <v>3193</v>
      </c>
      <c r="C980" s="2" t="s">
        <v>3194</v>
      </c>
      <c r="D980" s="2" t="s">
        <v>8</v>
      </c>
      <c r="E980" s="2" t="s">
        <v>3195</v>
      </c>
      <c r="F980" s="2">
        <v>1025</v>
      </c>
      <c r="G980" s="2" t="s">
        <v>113</v>
      </c>
      <c r="H980" s="2" t="s">
        <v>573</v>
      </c>
      <c r="I980" s="2" t="s">
        <v>63</v>
      </c>
      <c r="J980" s="2" t="s">
        <v>2787</v>
      </c>
      <c r="K980" s="2" t="s">
        <v>63</v>
      </c>
      <c r="L980" s="2" t="s">
        <v>3011</v>
      </c>
      <c r="M980" s="2" t="s">
        <v>118</v>
      </c>
      <c r="N980" s="2" t="s">
        <v>119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3484</v>
      </c>
      <c r="B981" s="2" t="s">
        <v>571</v>
      </c>
      <c r="C981" s="2" t="s">
        <v>572</v>
      </c>
      <c r="D981" s="2" t="s">
        <v>8</v>
      </c>
      <c r="E981" s="2" t="s">
        <v>574</v>
      </c>
      <c r="F981" s="2">
        <v>1002</v>
      </c>
      <c r="G981" s="2" t="s">
        <v>34</v>
      </c>
      <c r="H981" s="2" t="s">
        <v>573</v>
      </c>
      <c r="I981" s="2" t="s">
        <v>62</v>
      </c>
      <c r="J981" s="2" t="s">
        <v>2787</v>
      </c>
      <c r="K981" s="2" t="s">
        <v>63</v>
      </c>
      <c r="L981" s="2" t="s">
        <v>3011</v>
      </c>
      <c r="M981" s="2" t="s">
        <v>39</v>
      </c>
      <c r="N981" s="2" t="s">
        <v>40</v>
      </c>
      <c r="O981" s="2" t="str">
        <f>_xlfn.IFNA(+VLOOKUP(Maestro_Clientes[[#This Row],[Zona]],Tabla1[[#All],[Cruce Reportes]:[ENTREGA ]],2,0),Maestro_Clientes[[#This Row],[Zona]])</f>
        <v>DIARIA</v>
      </c>
      <c r="P981" s="2" t="str">
        <f>+VLOOKUP(Maestro_Clientes[[#This Row],[Entrega]],Preparacion!A:B,2,0)</f>
        <v>DIARIA</v>
      </c>
    </row>
    <row r="982" spans="1:17" customFormat="1" x14ac:dyDescent="0.25">
      <c r="A982" s="2" t="s">
        <v>2329</v>
      </c>
      <c r="B982" s="2" t="s">
        <v>2325</v>
      </c>
      <c r="C982" s="2" t="s">
        <v>2326</v>
      </c>
      <c r="D982" s="2" t="s">
        <v>8</v>
      </c>
      <c r="E982" s="2" t="s">
        <v>2328</v>
      </c>
      <c r="F982" s="2">
        <v>1002</v>
      </c>
      <c r="G982" s="2" t="s">
        <v>34</v>
      </c>
      <c r="H982" s="2" t="s">
        <v>2327</v>
      </c>
      <c r="I982" s="2" t="s">
        <v>2327</v>
      </c>
      <c r="J982" s="2" t="s">
        <v>2965</v>
      </c>
      <c r="K982" s="2" t="s">
        <v>12</v>
      </c>
      <c r="L982" s="2" t="s">
        <v>618</v>
      </c>
      <c r="M982" s="2" t="s">
        <v>39</v>
      </c>
      <c r="N982" s="2" t="s">
        <v>40</v>
      </c>
      <c r="O982" s="2" t="s">
        <v>3158</v>
      </c>
      <c r="P982" s="2" t="str">
        <f>+VLOOKUP(Maestro_Clientes[[#This Row],[Entrega]],Preparacion!A:B,2,0)</f>
        <v>MIERCOLES</v>
      </c>
    </row>
    <row r="983" spans="1:17" x14ac:dyDescent="0.25">
      <c r="A983" s="2" t="s">
        <v>2460</v>
      </c>
      <c r="B983" s="2" t="s">
        <v>2456</v>
      </c>
      <c r="C983" s="2" t="s">
        <v>2457</v>
      </c>
      <c r="D983" s="2" t="s">
        <v>8</v>
      </c>
      <c r="E983" s="2" t="s">
        <v>2459</v>
      </c>
      <c r="F983" s="2">
        <v>1025</v>
      </c>
      <c r="G983" s="2" t="s">
        <v>113</v>
      </c>
      <c r="H983" s="2" t="s">
        <v>2458</v>
      </c>
      <c r="I983" s="2" t="s">
        <v>530</v>
      </c>
      <c r="J983" s="2" t="s">
        <v>2780</v>
      </c>
      <c r="K983" s="2" t="s">
        <v>531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x14ac:dyDescent="0.25">
      <c r="A984" s="2" t="s">
        <v>1794</v>
      </c>
      <c r="B984" s="2" t="s">
        <v>1790</v>
      </c>
      <c r="C984" s="2" t="s">
        <v>1791</v>
      </c>
      <c r="D984" s="2" t="s">
        <v>8</v>
      </c>
      <c r="E984" s="2" t="s">
        <v>1793</v>
      </c>
      <c r="F984" s="2">
        <v>1025</v>
      </c>
      <c r="G984" s="2" t="s">
        <v>113</v>
      </c>
      <c r="H984" s="2" t="s">
        <v>1792</v>
      </c>
      <c r="I984" s="2" t="s">
        <v>4186</v>
      </c>
      <c r="J984" s="2" t="s">
        <v>2881</v>
      </c>
      <c r="K984" s="2" t="s">
        <v>681</v>
      </c>
      <c r="L984" s="2" t="s">
        <v>3176</v>
      </c>
      <c r="M984" s="2" t="s">
        <v>118</v>
      </c>
      <c r="N984" s="2" t="s">
        <v>119</v>
      </c>
      <c r="O984" s="2" t="str">
        <f>_xlfn.IFNA(+VLOOKUP(Maestro_Clientes[[#This Row],[Zona]],Tabla1[[#All],[Cruce Reportes]:[ENTREGA ]],2,0),Maestro_Clientes[[#This Row],[Zona]])</f>
        <v>Expreso</v>
      </c>
      <c r="P984" s="2" t="str">
        <f>+VLOOKUP(Maestro_Clientes[[#This Row],[Entrega]],Preparacion!A:B,2,0)</f>
        <v>Expreso</v>
      </c>
      <c r="Q984"/>
    </row>
    <row r="985" spans="1:17" customFormat="1" x14ac:dyDescent="0.25">
      <c r="A985" s="2" t="s">
        <v>4876</v>
      </c>
      <c r="B985" s="2" t="s">
        <v>4877</v>
      </c>
      <c r="C985" s="2" t="s">
        <v>4878</v>
      </c>
      <c r="D985" s="2" t="s">
        <v>8</v>
      </c>
      <c r="E985" s="2" t="s">
        <v>4879</v>
      </c>
      <c r="F985" s="2">
        <v>1001</v>
      </c>
      <c r="G985" s="2" t="s">
        <v>9</v>
      </c>
      <c r="H985" s="2" t="s">
        <v>912</v>
      </c>
      <c r="I985" s="2" t="s">
        <v>912</v>
      </c>
      <c r="J985" s="2" t="s">
        <v>2826</v>
      </c>
      <c r="K985" s="2" t="s">
        <v>12</v>
      </c>
      <c r="L985" s="2" t="s">
        <v>3158</v>
      </c>
      <c r="M985" s="2" t="s">
        <v>14</v>
      </c>
      <c r="N985" s="2" t="s">
        <v>15</v>
      </c>
      <c r="O985" s="2" t="s">
        <v>3125</v>
      </c>
      <c r="P985" s="2" t="str">
        <f>+VLOOKUP(Maestro_Clientes[[#This Row],[Entrega]],Preparacion!A:B,2,0)</f>
        <v>MARTES</v>
      </c>
    </row>
    <row r="986" spans="1:17" customFormat="1" x14ac:dyDescent="0.25">
      <c r="A986" s="2" t="s">
        <v>4826</v>
      </c>
      <c r="B986" s="2" t="s">
        <v>4827</v>
      </c>
      <c r="C986" s="2" t="s">
        <v>4828</v>
      </c>
      <c r="D986" s="2" t="s">
        <v>8</v>
      </c>
      <c r="E986" s="2" t="s">
        <v>4829</v>
      </c>
      <c r="F986" s="2">
        <v>1002</v>
      </c>
      <c r="G986" s="2" t="s">
        <v>34</v>
      </c>
      <c r="H986" s="2" t="s">
        <v>917</v>
      </c>
      <c r="I986" s="2" t="s">
        <v>917</v>
      </c>
      <c r="J986" s="2" t="s">
        <v>2827</v>
      </c>
      <c r="K986" s="2" t="s">
        <v>12</v>
      </c>
      <c r="L986" s="2" t="s">
        <v>3023</v>
      </c>
      <c r="M986" s="2" t="s">
        <v>39</v>
      </c>
      <c r="N986" s="2" t="s">
        <v>40</v>
      </c>
      <c r="O986" s="2" t="str">
        <f>_xlfn.IFNA(+VLOOKUP(Maestro_Clientes[[#This Row],[Zona]],Tabla1[[#All],[Cruce Reportes]:[ENTREGA ]],2,0),Maestro_Clientes[[#This Row],[Zona]])</f>
        <v>LUNES</v>
      </c>
      <c r="P986" s="2" t="str">
        <f>+VLOOKUP(Maestro_Clientes[[#This Row],[Entrega]],Preparacion!A:B,2,0)</f>
        <v>JUEVES</v>
      </c>
      <c r="Q986" s="2"/>
    </row>
    <row r="987" spans="1:17" customFormat="1" x14ac:dyDescent="0.25">
      <c r="A987" s="2" t="s">
        <v>4830</v>
      </c>
      <c r="B987" s="2" t="s">
        <v>4831</v>
      </c>
      <c r="C987" s="2" t="s">
        <v>4832</v>
      </c>
      <c r="D987" s="2" t="s">
        <v>8</v>
      </c>
      <c r="E987" s="2" t="s">
        <v>4833</v>
      </c>
      <c r="F987" s="2">
        <v>1001</v>
      </c>
      <c r="G987" s="2" t="s">
        <v>9</v>
      </c>
      <c r="H987" s="2" t="s">
        <v>491</v>
      </c>
      <c r="I987" s="2" t="s">
        <v>491</v>
      </c>
      <c r="J987" s="2" t="s">
        <v>2889</v>
      </c>
      <c r="K987" s="2" t="s">
        <v>12</v>
      </c>
      <c r="L987" s="2" t="s">
        <v>3125</v>
      </c>
      <c r="M987" s="2" t="s">
        <v>14</v>
      </c>
      <c r="N987" s="2" t="s">
        <v>15</v>
      </c>
      <c r="O987" s="2" t="s">
        <v>3158</v>
      </c>
      <c r="P987" s="2" t="str">
        <f>+VLOOKUP(Maestro_Clientes[[#This Row],[Entrega]],Preparacion!A:B,2,0)</f>
        <v>MIERCOLES</v>
      </c>
    </row>
    <row r="988" spans="1:17" x14ac:dyDescent="0.25">
      <c r="A988" s="2" t="s">
        <v>4046</v>
      </c>
      <c r="B988" s="2" t="s">
        <v>4047</v>
      </c>
      <c r="C988" s="2" t="s">
        <v>4048</v>
      </c>
      <c r="D988" s="2" t="s">
        <v>8</v>
      </c>
      <c r="E988" s="2" t="s">
        <v>4049</v>
      </c>
      <c r="F988" s="2">
        <v>1034</v>
      </c>
      <c r="G988" s="2" t="s">
        <v>158</v>
      </c>
      <c r="H988" s="2" t="s">
        <v>622</v>
      </c>
      <c r="I988" s="2" t="s">
        <v>622</v>
      </c>
      <c r="J988" s="2" t="s">
        <v>2793</v>
      </c>
      <c r="K988" s="2" t="s">
        <v>12</v>
      </c>
      <c r="L988" s="2" t="s">
        <v>623</v>
      </c>
      <c r="M988" s="2" t="s">
        <v>2706</v>
      </c>
      <c r="N988" s="2" t="s">
        <v>163</v>
      </c>
      <c r="O988" s="2" t="str">
        <f>_xlfn.IFNA(+VLOOKUP(Maestro_Clientes[[#This Row],[Zona]],Tabla1[[#All],[Cruce Reportes]:[ENTREGA ]],2,0),Maestro_Clientes[[#This Row],[Zona]])</f>
        <v>LUNES</v>
      </c>
      <c r="P988" s="2" t="str">
        <f>+VLOOKUP(Maestro_Clientes[[#This Row],[Entrega]],Preparacion!A:B,2,0)</f>
        <v>JUEVES</v>
      </c>
    </row>
    <row r="989" spans="1:17" customFormat="1" x14ac:dyDescent="0.25">
      <c r="A989" s="2" t="s">
        <v>4834</v>
      </c>
      <c r="B989" s="2" t="s">
        <v>4835</v>
      </c>
      <c r="C989" s="2" t="s">
        <v>4836</v>
      </c>
      <c r="D989" s="2" t="s">
        <v>8</v>
      </c>
      <c r="E989" s="2" t="s">
        <v>4837</v>
      </c>
      <c r="F989" s="2">
        <v>0</v>
      </c>
      <c r="G989" s="2" t="s">
        <v>3176</v>
      </c>
      <c r="H989" s="2" t="s">
        <v>4838</v>
      </c>
      <c r="I989" s="2" t="s">
        <v>4604</v>
      </c>
      <c r="J989" s="2" t="s">
        <v>2772</v>
      </c>
      <c r="K989" s="2" t="s">
        <v>186</v>
      </c>
      <c r="L989" s="2" t="s">
        <v>3009</v>
      </c>
      <c r="M989" s="2" t="s">
        <v>2706</v>
      </c>
      <c r="N989" s="2" t="s">
        <v>2706</v>
      </c>
      <c r="O989" s="2" t="str">
        <f>_xlfn.IFNA(+VLOOKUP(Maestro_Clientes[[#This Row],[Zona]],Tabla1[[#All],[Cruce Reportes]:[ENTREGA ]],2,0),Maestro_Clientes[[#This Row],[Zona]])</f>
        <v>EXPRESO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5030</v>
      </c>
      <c r="B990" s="2" t="s">
        <v>5029</v>
      </c>
      <c r="C990" s="2" t="s">
        <v>5031</v>
      </c>
      <c r="D990" s="2" t="s">
        <v>8</v>
      </c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 t="s">
        <v>3176</v>
      </c>
      <c r="P990" s="2" t="str">
        <f>+VLOOKUP(Maestro_Clientes[[#This Row],[Entrega]],Preparacion!A:B,2,0)</f>
        <v>Expreso</v>
      </c>
    </row>
    <row r="991" spans="1:17" customFormat="1" x14ac:dyDescent="0.25">
      <c r="A991" s="2" t="s">
        <v>619</v>
      </c>
      <c r="B991" s="2" t="s">
        <v>614</v>
      </c>
      <c r="C991" s="2" t="s">
        <v>615</v>
      </c>
      <c r="D991" s="2" t="s">
        <v>8</v>
      </c>
      <c r="E991" s="2" t="s">
        <v>617</v>
      </c>
      <c r="F991" s="2">
        <v>1001</v>
      </c>
      <c r="G991" s="2" t="s">
        <v>9</v>
      </c>
      <c r="H991" s="2" t="s">
        <v>616</v>
      </c>
      <c r="I991" s="2" t="s">
        <v>616</v>
      </c>
      <c r="J991" s="2" t="s">
        <v>2792</v>
      </c>
      <c r="K991" s="2" t="s">
        <v>12</v>
      </c>
      <c r="L991" s="2" t="s">
        <v>618</v>
      </c>
      <c r="M991" s="2" t="s">
        <v>14</v>
      </c>
      <c r="N991" s="2" t="s">
        <v>15</v>
      </c>
      <c r="O991" s="2" t="s">
        <v>3158</v>
      </c>
      <c r="P991" s="2" t="str">
        <f>+VLOOKUP(Maestro_Clientes[[#This Row],[Entrega]],Preparacion!A:B,2,0)</f>
        <v>MIERCOLES</v>
      </c>
    </row>
    <row r="992" spans="1:17" customFormat="1" x14ac:dyDescent="0.25">
      <c r="A992" s="2" t="s">
        <v>1565</v>
      </c>
      <c r="B992" s="2" t="s">
        <v>1561</v>
      </c>
      <c r="C992" s="2" t="s">
        <v>1562</v>
      </c>
      <c r="D992" s="2" t="s">
        <v>8</v>
      </c>
      <c r="E992" s="2" t="s">
        <v>1564</v>
      </c>
      <c r="F992" s="2">
        <v>1002</v>
      </c>
      <c r="G992" s="2" t="s">
        <v>34</v>
      </c>
      <c r="H992" s="2" t="s">
        <v>1563</v>
      </c>
      <c r="I992" s="2" t="s">
        <v>140</v>
      </c>
      <c r="J992" s="2" t="s">
        <v>2722</v>
      </c>
      <c r="K992" s="2" t="s">
        <v>140</v>
      </c>
      <c r="L992" s="2" t="s">
        <v>3176</v>
      </c>
      <c r="M992" s="2" t="s">
        <v>39</v>
      </c>
      <c r="N992" s="2" t="s">
        <v>40</v>
      </c>
      <c r="O992" s="2" t="s">
        <v>3176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3911</v>
      </c>
      <c r="B993" s="2" t="s">
        <v>3912</v>
      </c>
      <c r="C993" s="2" t="s">
        <v>3913</v>
      </c>
      <c r="D993" s="2" t="s">
        <v>8</v>
      </c>
      <c r="E993" s="2" t="s">
        <v>3914</v>
      </c>
      <c r="F993" s="2">
        <v>1025</v>
      </c>
      <c r="G993" s="2" t="s">
        <v>113</v>
      </c>
      <c r="H993" s="2" t="s">
        <v>144</v>
      </c>
      <c r="I993" s="2" t="s">
        <v>3915</v>
      </c>
      <c r="J993" s="2" t="s">
        <v>2723</v>
      </c>
      <c r="K993" s="2" t="s">
        <v>147</v>
      </c>
      <c r="L993" s="2" t="s">
        <v>3176</v>
      </c>
      <c r="M993" s="2" t="s">
        <v>118</v>
      </c>
      <c r="N993" s="2" t="s">
        <v>119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4178</v>
      </c>
      <c r="B994" s="2" t="s">
        <v>4179</v>
      </c>
      <c r="C994" s="2" t="s">
        <v>4180</v>
      </c>
      <c r="D994" s="2" t="s">
        <v>8</v>
      </c>
      <c r="E994" s="2" t="s">
        <v>4181</v>
      </c>
      <c r="F994" s="2">
        <v>1001</v>
      </c>
      <c r="G994" s="2" t="s">
        <v>9</v>
      </c>
      <c r="H994" s="2" t="s">
        <v>49</v>
      </c>
      <c r="I994" s="2" t="s">
        <v>49</v>
      </c>
      <c r="J994" s="2" t="s">
        <v>2708</v>
      </c>
      <c r="K994" s="2" t="s">
        <v>12</v>
      </c>
      <c r="L994" s="2" t="s">
        <v>3176</v>
      </c>
      <c r="M994" s="2" t="s">
        <v>14</v>
      </c>
      <c r="N994" s="2" t="s">
        <v>15</v>
      </c>
      <c r="O994" s="2" t="str">
        <f>_xlfn.IFNA(+VLOOKUP(Maestro_Clientes[[#This Row],[Zona]],Tabla1[[#All],[Cruce Reportes]:[ENTREGA ]],2,0),Maestro_Clientes[[#This Row],[Zona]])</f>
        <v>Expreso</v>
      </c>
      <c r="P994" s="2" t="str">
        <f>+VLOOKUP(Maestro_Clientes[[#This Row],[Entrega]],Preparacion!A:B,2,0)</f>
        <v>Expreso</v>
      </c>
    </row>
    <row r="995" spans="1:17" customFormat="1" x14ac:dyDescent="0.25">
      <c r="A995" s="2" t="s">
        <v>936</v>
      </c>
      <c r="B995" s="2" t="s">
        <v>933</v>
      </c>
      <c r="C995" s="2" t="s">
        <v>934</v>
      </c>
      <c r="D995" s="2" t="s">
        <v>8</v>
      </c>
      <c r="E995" s="2" t="s">
        <v>935</v>
      </c>
      <c r="F995" s="2">
        <v>0</v>
      </c>
      <c r="G995" s="2" t="s">
        <v>3176</v>
      </c>
      <c r="H995" s="2" t="s">
        <v>917</v>
      </c>
      <c r="I995" s="2" t="s">
        <v>917</v>
      </c>
      <c r="J995" s="2" t="s">
        <v>2827</v>
      </c>
      <c r="K995" s="2" t="s">
        <v>12</v>
      </c>
      <c r="L995" s="2" t="s">
        <v>346</v>
      </c>
      <c r="M995" s="2" t="s">
        <v>2706</v>
      </c>
      <c r="N995" s="2" t="s">
        <v>2706</v>
      </c>
      <c r="O995" s="2" t="str">
        <f>_xlfn.IFNA(+VLOOKUP(Maestro_Clientes[[#This Row],[Zona]],Tabla1[[#All],[Cruce Reportes]:[ENTREGA ]],2,0),Maestro_Clientes[[#This Row],[Zona]])</f>
        <v>LUNES</v>
      </c>
      <c r="P995" s="2" t="str">
        <f>+VLOOKUP(Maestro_Clientes[[#This Row],[Entrega]],Preparacion!A:B,2,0)</f>
        <v>JUEVES</v>
      </c>
      <c r="Q995" s="2"/>
    </row>
    <row r="996" spans="1:17" customFormat="1" x14ac:dyDescent="0.25">
      <c r="A996" s="2" t="s">
        <v>575</v>
      </c>
      <c r="B996" s="2" t="s">
        <v>571</v>
      </c>
      <c r="C996" s="2" t="s">
        <v>572</v>
      </c>
      <c r="D996" s="2" t="s">
        <v>8</v>
      </c>
      <c r="E996" s="2" t="s">
        <v>574</v>
      </c>
      <c r="F996" s="2">
        <v>1001</v>
      </c>
      <c r="G996" s="2" t="s">
        <v>9</v>
      </c>
      <c r="H996" s="2" t="s">
        <v>573</v>
      </c>
      <c r="I996" s="2" t="s">
        <v>62</v>
      </c>
      <c r="J996" s="2" t="s">
        <v>2787</v>
      </c>
      <c r="K996" s="2" t="s">
        <v>63</v>
      </c>
      <c r="L996" s="2" t="s">
        <v>3158</v>
      </c>
      <c r="M996" s="2" t="s">
        <v>14</v>
      </c>
      <c r="N996" s="2" t="s">
        <v>15</v>
      </c>
      <c r="O996" s="2" t="s">
        <v>3125</v>
      </c>
      <c r="P996" s="2" t="str">
        <f>+VLOOKUP(Maestro_Clientes[[#This Row],[Entrega]],Preparacion!A:B,2,0)</f>
        <v>MARTES</v>
      </c>
    </row>
    <row r="997" spans="1:17" customFormat="1" x14ac:dyDescent="0.25">
      <c r="A997" s="2" t="s">
        <v>2478</v>
      </c>
      <c r="B997" s="2" t="s">
        <v>2474</v>
      </c>
      <c r="C997" s="2" t="s">
        <v>2475</v>
      </c>
      <c r="D997" s="2" t="s">
        <v>8</v>
      </c>
      <c r="E997" s="2" t="s">
        <v>2477</v>
      </c>
      <c r="F997" s="2">
        <v>1001</v>
      </c>
      <c r="G997" s="2" t="s">
        <v>9</v>
      </c>
      <c r="H997" s="2" t="s">
        <v>2476</v>
      </c>
      <c r="I997" s="2" t="s">
        <v>2476</v>
      </c>
      <c r="J997" s="2" t="s">
        <v>2981</v>
      </c>
      <c r="K997" s="2" t="s">
        <v>12</v>
      </c>
      <c r="L997" s="2" t="s">
        <v>3176</v>
      </c>
      <c r="M997" s="2" t="s">
        <v>14</v>
      </c>
      <c r="N997" s="2" t="s">
        <v>15</v>
      </c>
      <c r="O997" s="2" t="s">
        <v>3068</v>
      </c>
      <c r="P997" s="2" t="str">
        <f>+VLOOKUP(Maestro_Clientes[[#This Row],[Entrega]],Preparacion!A:B,2,0)</f>
        <v>VIERNES</v>
      </c>
    </row>
    <row r="998" spans="1:17" customFormat="1" x14ac:dyDescent="0.25">
      <c r="A998" s="2" t="s">
        <v>4177</v>
      </c>
      <c r="B998" s="2" t="s">
        <v>942</v>
      </c>
      <c r="C998" s="2" t="s">
        <v>943</v>
      </c>
      <c r="D998" s="2" t="s">
        <v>24</v>
      </c>
      <c r="E998" s="2" t="s">
        <v>949</v>
      </c>
      <c r="F998" s="2">
        <v>1025</v>
      </c>
      <c r="G998" s="2" t="s">
        <v>113</v>
      </c>
      <c r="H998" s="2" t="s">
        <v>2706</v>
      </c>
      <c r="I998" s="2" t="s">
        <v>62</v>
      </c>
      <c r="J998" s="2" t="s">
        <v>2831</v>
      </c>
      <c r="K998" s="2" t="s">
        <v>63</v>
      </c>
      <c r="L998" s="2" t="s">
        <v>3176</v>
      </c>
      <c r="M998" s="2" t="s">
        <v>118</v>
      </c>
      <c r="N998" s="2" t="s">
        <v>119</v>
      </c>
      <c r="O998" s="2" t="str">
        <f>_xlfn.IFNA(+VLOOKUP(Maestro_Clientes[[#This Row],[Zona]],Tabla1[[#All],[Cruce Reportes]:[ENTREGA ]],2,0),Maestro_Clientes[[#This Row],[Zona]])</f>
        <v>Expreso</v>
      </c>
      <c r="P998" s="2" t="str">
        <f>+VLOOKUP(Maestro_Clientes[[#This Row],[Entrega]],Preparacion!A:B,2,0)</f>
        <v>Expreso</v>
      </c>
    </row>
    <row r="999" spans="1:17" customFormat="1" x14ac:dyDescent="0.25">
      <c r="A999" s="2" t="s">
        <v>1673</v>
      </c>
      <c r="B999" s="2" t="s">
        <v>1670</v>
      </c>
      <c r="C999" s="2" t="s">
        <v>1671</v>
      </c>
      <c r="D999" s="2" t="s">
        <v>8</v>
      </c>
      <c r="E999" s="2" t="s">
        <v>1672</v>
      </c>
      <c r="F999" s="2">
        <v>1028</v>
      </c>
      <c r="G999" s="2" t="s">
        <v>81</v>
      </c>
      <c r="H999" s="2" t="s">
        <v>573</v>
      </c>
      <c r="I999" s="2" t="s">
        <v>62</v>
      </c>
      <c r="J999" s="2" t="s">
        <v>2787</v>
      </c>
      <c r="K999" s="2" t="s">
        <v>63</v>
      </c>
      <c r="L999" s="2" t="s">
        <v>3011</v>
      </c>
      <c r="M999" s="2" t="s">
        <v>87</v>
      </c>
      <c r="N999" s="2" t="s">
        <v>88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customFormat="1" x14ac:dyDescent="0.25">
      <c r="A1000" s="2" t="s">
        <v>909</v>
      </c>
      <c r="B1000" s="2" t="s">
        <v>906</v>
      </c>
      <c r="C1000" s="2" t="s">
        <v>907</v>
      </c>
      <c r="D1000" s="2" t="s">
        <v>8</v>
      </c>
      <c r="E1000" s="2" t="s">
        <v>908</v>
      </c>
      <c r="F1000" s="2">
        <v>1001</v>
      </c>
      <c r="G1000" s="2" t="s">
        <v>9</v>
      </c>
      <c r="H1000" s="2" t="s">
        <v>428</v>
      </c>
      <c r="I1000" s="2" t="s">
        <v>62</v>
      </c>
      <c r="J1000" s="2" t="s">
        <v>2823</v>
      </c>
      <c r="K1000" s="2" t="s">
        <v>63</v>
      </c>
      <c r="L1000" s="2" t="s">
        <v>3011</v>
      </c>
      <c r="M1000" s="2" t="s">
        <v>14</v>
      </c>
      <c r="N1000" s="2" t="s">
        <v>15</v>
      </c>
      <c r="O1000" s="2" t="str">
        <f>_xlfn.IFNA(+VLOOKUP(Maestro_Clientes[[#This Row],[Zona]],Tabla1[[#All],[Cruce Reportes]:[ENTREGA ]],2,0),Maestro_Clientes[[#This Row],[Zona]])</f>
        <v>DIARIA</v>
      </c>
      <c r="P1000" s="2" t="str">
        <f>+VLOOKUP(Maestro_Clientes[[#This Row],[Entrega]],Preparacion!A:B,2,0)</f>
        <v>DIARIA</v>
      </c>
    </row>
    <row r="1001" spans="1:17" x14ac:dyDescent="0.25">
      <c r="A1001" s="2" t="s">
        <v>5273</v>
      </c>
      <c r="B1001" s="2" t="s">
        <v>942</v>
      </c>
      <c r="C1001" s="2" t="s">
        <v>943</v>
      </c>
      <c r="D1001" s="2" t="s">
        <v>8</v>
      </c>
      <c r="O1001" s="2" t="s">
        <v>3023</v>
      </c>
      <c r="P1001" s="2" t="str">
        <f>+VLOOKUP(Maestro_Clientes[[#This Row],[Entrega]],Preparacion!A:B,2,0)</f>
        <v>JUEVES</v>
      </c>
    </row>
    <row r="1002" spans="1:17" customFormat="1" x14ac:dyDescent="0.25">
      <c r="A1002" s="2" t="s">
        <v>2608</v>
      </c>
      <c r="B1002" s="2" t="s">
        <v>2604</v>
      </c>
      <c r="C1002" s="2" t="s">
        <v>2605</v>
      </c>
      <c r="D1002" s="2" t="s">
        <v>8</v>
      </c>
      <c r="E1002" s="2" t="s">
        <v>2607</v>
      </c>
      <c r="F1002" s="2">
        <v>1002</v>
      </c>
      <c r="G1002" s="2" t="s">
        <v>34</v>
      </c>
      <c r="H1002" s="2" t="s">
        <v>2606</v>
      </c>
      <c r="I1002" s="2" t="s">
        <v>4188</v>
      </c>
      <c r="J1002" s="2" t="s">
        <v>2997</v>
      </c>
      <c r="K1002" s="2" t="s">
        <v>243</v>
      </c>
      <c r="L1002" s="2" t="s">
        <v>3176</v>
      </c>
      <c r="M1002" s="2" t="s">
        <v>39</v>
      </c>
      <c r="N1002" s="2" t="s">
        <v>40</v>
      </c>
      <c r="O1002" s="2" t="str">
        <f>_xlfn.IFNA(+VLOOKUP(Maestro_Clientes[[#This Row],[Zona]],Tabla1[[#All],[Cruce Reportes]:[ENTREGA ]],2,0),Maestro_Clientes[[#This Row],[Zona]])</f>
        <v>Expreso</v>
      </c>
      <c r="P1002" s="2" t="str">
        <f>+VLOOKUP(Maestro_Clientes[[#This Row],[Entrega]],Preparacion!A:B,2,0)</f>
        <v>Expreso</v>
      </c>
    </row>
    <row r="1003" spans="1:17" customFormat="1" x14ac:dyDescent="0.25">
      <c r="A1003" s="2" t="s">
        <v>1592</v>
      </c>
      <c r="B1003" s="2" t="s">
        <v>1588</v>
      </c>
      <c r="C1003" s="2" t="s">
        <v>1589</v>
      </c>
      <c r="D1003" s="2" t="s">
        <v>8</v>
      </c>
      <c r="E1003" s="2" t="s">
        <v>1591</v>
      </c>
      <c r="F1003" s="2">
        <v>1014</v>
      </c>
      <c r="G1003" s="2" t="s">
        <v>59</v>
      </c>
      <c r="H1003" s="2" t="s">
        <v>1590</v>
      </c>
      <c r="I1003" s="2" t="s">
        <v>404</v>
      </c>
      <c r="J1003" s="2" t="s">
        <v>2765</v>
      </c>
      <c r="K1003" s="2" t="s">
        <v>12</v>
      </c>
      <c r="L1003" s="2" t="s">
        <v>404</v>
      </c>
      <c r="M1003" s="2" t="s">
        <v>2706</v>
      </c>
      <c r="N1003" s="2" t="s">
        <v>66</v>
      </c>
      <c r="O1003" s="2" t="s">
        <v>3158</v>
      </c>
      <c r="P1003" s="2" t="str">
        <f>+VLOOKUP(Maestro_Clientes[[#This Row],[Entrega]],Preparacion!A:B,2,0)</f>
        <v>MIERCOLES</v>
      </c>
    </row>
    <row r="1004" spans="1:17" customFormat="1" x14ac:dyDescent="0.25">
      <c r="A1004" s="2" t="s">
        <v>2603</v>
      </c>
      <c r="B1004" s="2" t="s">
        <v>2600</v>
      </c>
      <c r="C1004" s="2" t="s">
        <v>2601</v>
      </c>
      <c r="D1004" s="2" t="s">
        <v>8</v>
      </c>
      <c r="E1004" s="2" t="s">
        <v>2602</v>
      </c>
      <c r="F1004" s="2">
        <v>1028</v>
      </c>
      <c r="G1004" s="2" t="s">
        <v>81</v>
      </c>
      <c r="H1004" s="2" t="s">
        <v>2308</v>
      </c>
      <c r="I1004" s="2" t="s">
        <v>209</v>
      </c>
      <c r="J1004" s="2" t="s">
        <v>2733</v>
      </c>
      <c r="K1004" s="2" t="s">
        <v>12</v>
      </c>
      <c r="L1004" s="2" t="s">
        <v>3176</v>
      </c>
      <c r="M1004" s="2" t="s">
        <v>87</v>
      </c>
      <c r="N1004" s="2" t="s">
        <v>88</v>
      </c>
      <c r="O1004" s="2" t="str">
        <f>_xlfn.IFNA(+VLOOKUP(Maestro_Clientes[[#This Row],[Zona]],Tabla1[[#All],[Cruce Reportes]:[ENTREGA ]],2,0),Maestro_Clientes[[#This Row],[Zona]])</f>
        <v>Expreso</v>
      </c>
      <c r="P1004" s="2" t="str">
        <f>+VLOOKUP(Maestro_Clientes[[#This Row],[Entrega]],Preparacion!A:B,2,0)</f>
        <v>Expreso</v>
      </c>
    </row>
    <row r="1005" spans="1:17" customFormat="1" x14ac:dyDescent="0.25">
      <c r="A1005" s="2" t="s">
        <v>1726</v>
      </c>
      <c r="B1005" s="2" t="s">
        <v>1721</v>
      </c>
      <c r="C1005" s="2" t="s">
        <v>1722</v>
      </c>
      <c r="D1005" s="2" t="s">
        <v>8</v>
      </c>
      <c r="E1005" s="2" t="s">
        <v>1724</v>
      </c>
      <c r="F1005" s="2">
        <v>1025</v>
      </c>
      <c r="G1005" s="2" t="s">
        <v>113</v>
      </c>
      <c r="H1005" s="2" t="s">
        <v>1723</v>
      </c>
      <c r="I1005" s="2" t="s">
        <v>1723</v>
      </c>
      <c r="J1005" s="2" t="s">
        <v>2911</v>
      </c>
      <c r="K1005" s="2" t="s">
        <v>12</v>
      </c>
      <c r="L1005" s="2" t="s">
        <v>1725</v>
      </c>
      <c r="M1005" s="2" t="s">
        <v>118</v>
      </c>
      <c r="N1005" s="2" t="s">
        <v>119</v>
      </c>
      <c r="O1005" s="2" t="str">
        <f>_xlfn.IFNA(+VLOOKUP(Maestro_Clientes[[#This Row],[Zona]],Tabla1[[#All],[Cruce Reportes]:[ENTREGA ]],2,0),Maestro_Clientes[[#This Row],[Zona]])</f>
        <v>LUNES</v>
      </c>
      <c r="P1005" s="2" t="str">
        <f>+VLOOKUP(Maestro_Clientes[[#This Row],[Entrega]],Preparacion!A:B,2,0)</f>
        <v>JUEVES</v>
      </c>
      <c r="Q1005" s="2"/>
    </row>
    <row r="1006" spans="1:17" customFormat="1" x14ac:dyDescent="0.25">
      <c r="A1006" s="2" t="s">
        <v>4839</v>
      </c>
      <c r="B1006" s="2" t="s">
        <v>4840</v>
      </c>
      <c r="C1006" s="2" t="s">
        <v>4841</v>
      </c>
      <c r="D1006" s="2" t="s">
        <v>8</v>
      </c>
      <c r="E1006" s="2" t="s">
        <v>4842</v>
      </c>
      <c r="F1006" s="2">
        <v>1002</v>
      </c>
      <c r="G1006" s="2" t="s">
        <v>34</v>
      </c>
      <c r="H1006" s="2" t="s">
        <v>1127</v>
      </c>
      <c r="I1006" s="2" t="s">
        <v>1129</v>
      </c>
      <c r="J1006" s="2" t="s">
        <v>2849</v>
      </c>
      <c r="K1006" s="2" t="s">
        <v>1129</v>
      </c>
      <c r="L1006" s="2" t="s">
        <v>3009</v>
      </c>
      <c r="M1006" s="2" t="s">
        <v>39</v>
      </c>
      <c r="N1006" s="2" t="s">
        <v>40</v>
      </c>
      <c r="O1006" s="2" t="str">
        <f>_xlfn.IFNA(+VLOOKUP(Maestro_Clientes[[#This Row],[Zona]],Tabla1[[#All],[Cruce Reportes]:[ENTREGA ]],2,0),Maestro_Clientes[[#This Row],[Zona]])</f>
        <v>EXPRESO</v>
      </c>
      <c r="P1006" s="2" t="str">
        <f>+VLOOKUP(Maestro_Clientes[[#This Row],[Entrega]],Preparacion!A:B,2,0)</f>
        <v>Expreso</v>
      </c>
    </row>
    <row r="1007" spans="1:17" x14ac:dyDescent="0.25">
      <c r="A1007" s="2" t="s">
        <v>2691</v>
      </c>
      <c r="B1007" s="2" t="s">
        <v>2687</v>
      </c>
      <c r="C1007" s="2" t="s">
        <v>2688</v>
      </c>
      <c r="D1007" s="2" t="s">
        <v>8</v>
      </c>
      <c r="E1007" s="2" t="s">
        <v>2690</v>
      </c>
      <c r="F1007" s="2">
        <v>1001</v>
      </c>
      <c r="G1007" s="2" t="s">
        <v>9</v>
      </c>
      <c r="H1007" s="2" t="s">
        <v>2689</v>
      </c>
      <c r="I1007" s="2" t="s">
        <v>2689</v>
      </c>
      <c r="J1007" s="2" t="s">
        <v>2701</v>
      </c>
      <c r="K1007" s="2" t="s">
        <v>12</v>
      </c>
      <c r="L1007" s="2" t="s">
        <v>2689</v>
      </c>
      <c r="M1007" s="2" t="s">
        <v>14</v>
      </c>
      <c r="N1007" s="2" t="s">
        <v>15</v>
      </c>
      <c r="O1007" s="2" t="str">
        <f>_xlfn.IFNA(+VLOOKUP(Maestro_Clientes[[#This Row],[Zona]],Tabla1[[#All],[Cruce Reportes]:[ENTREGA ]],2,0),Maestro_Clientes[[#This Row],[Zona]])</f>
        <v>MARTES</v>
      </c>
      <c r="P1007" s="2" t="str">
        <f>+VLOOKUP(Maestro_Clientes[[#This Row],[Entrega]],Preparacion!A:B,2,0)</f>
        <v>VIERNES</v>
      </c>
      <c r="Q1007"/>
    </row>
    <row r="1008" spans="1:17" x14ac:dyDescent="0.25">
      <c r="A1008" s="2" t="s">
        <v>5197</v>
      </c>
      <c r="B1008" s="2" t="s">
        <v>2687</v>
      </c>
      <c r="C1008" s="2" t="s">
        <v>2688</v>
      </c>
      <c r="D1008" s="2" t="s">
        <v>8</v>
      </c>
      <c r="O1008" s="2" t="s">
        <v>3068</v>
      </c>
      <c r="P1008" s="2" t="str">
        <f>+VLOOKUP(Maestro_Clientes[[#This Row],[Entrega]],Preparacion!A:B,2,0)</f>
        <v>VIERNES</v>
      </c>
      <c r="Q1008"/>
    </row>
    <row r="1009" spans="1:17" customFormat="1" x14ac:dyDescent="0.25">
      <c r="A1009" s="2" t="s">
        <v>5238</v>
      </c>
      <c r="B1009" s="2" t="s">
        <v>2687</v>
      </c>
      <c r="C1009" s="2" t="s">
        <v>2688</v>
      </c>
      <c r="D1009" s="2" t="s">
        <v>8</v>
      </c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 t="s">
        <v>3068</v>
      </c>
      <c r="P1009" s="2" t="str">
        <f>+VLOOKUP(Maestro_Clientes[[#This Row],[Entrega]],Preparacion!A:B,2,0)</f>
        <v>VIERNES</v>
      </c>
      <c r="Q1009" s="2"/>
    </row>
    <row r="1010" spans="1:17" customFormat="1" x14ac:dyDescent="0.25">
      <c r="A1010" s="2" t="s">
        <v>720</v>
      </c>
      <c r="B1010" s="2" t="s">
        <v>715</v>
      </c>
      <c r="C1010" s="2" t="s">
        <v>716</v>
      </c>
      <c r="D1010" s="2" t="s">
        <v>8</v>
      </c>
      <c r="E1010" s="2" t="s">
        <v>718</v>
      </c>
      <c r="F1010" s="2">
        <v>1014</v>
      </c>
      <c r="G1010" s="2" t="s">
        <v>59</v>
      </c>
      <c r="H1010" s="2" t="s">
        <v>717</v>
      </c>
      <c r="I1010" s="2" t="s">
        <v>719</v>
      </c>
      <c r="J1010" s="2" t="s">
        <v>2804</v>
      </c>
      <c r="K1010" s="2" t="s">
        <v>12</v>
      </c>
      <c r="L1010" s="2" t="s">
        <v>3176</v>
      </c>
      <c r="M1010" s="2" t="s">
        <v>2706</v>
      </c>
      <c r="N1010" s="2" t="s">
        <v>66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3930</v>
      </c>
      <c r="B1011" s="2" t="s">
        <v>3917</v>
      </c>
      <c r="C1011" s="2" t="s">
        <v>3918</v>
      </c>
      <c r="D1011" s="2" t="s">
        <v>8</v>
      </c>
      <c r="E1011" s="2" t="s">
        <v>3931</v>
      </c>
      <c r="F1011" s="2">
        <v>0</v>
      </c>
      <c r="G1011" s="2" t="s">
        <v>3176</v>
      </c>
      <c r="H1011" s="2" t="s">
        <v>3932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3936</v>
      </c>
      <c r="B1012" s="2" t="s">
        <v>3917</v>
      </c>
      <c r="C1012" s="2" t="s">
        <v>3918</v>
      </c>
      <c r="D1012" s="2" t="s">
        <v>8</v>
      </c>
      <c r="E1012" s="2" t="s">
        <v>3937</v>
      </c>
      <c r="F1012" s="2">
        <v>0</v>
      </c>
      <c r="G1012" s="2" t="s">
        <v>3176</v>
      </c>
      <c r="H1012" s="2" t="s">
        <v>3938</v>
      </c>
      <c r="I1012" s="2" t="s">
        <v>237</v>
      </c>
      <c r="J1012" s="2" t="s">
        <v>2738</v>
      </c>
      <c r="K1012" s="2" t="s">
        <v>237</v>
      </c>
      <c r="L1012" s="2" t="s">
        <v>3176</v>
      </c>
      <c r="M1012" s="2" t="s">
        <v>2706</v>
      </c>
      <c r="N1012" s="2" t="s">
        <v>2706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3925</v>
      </c>
      <c r="B1013" s="2" t="s">
        <v>3917</v>
      </c>
      <c r="C1013" s="2" t="s">
        <v>3918</v>
      </c>
      <c r="D1013" s="2" t="s">
        <v>8</v>
      </c>
      <c r="E1013" s="2" t="s">
        <v>3926</v>
      </c>
      <c r="F1013" s="2">
        <v>1003</v>
      </c>
      <c r="G1013" s="2" t="s">
        <v>807</v>
      </c>
      <c r="H1013" s="2" t="s">
        <v>3927</v>
      </c>
      <c r="I1013" s="2" t="s">
        <v>3928</v>
      </c>
      <c r="J1013" s="2" t="s">
        <v>3929</v>
      </c>
      <c r="K1013" s="2" t="s">
        <v>237</v>
      </c>
      <c r="L1013" s="2" t="s">
        <v>3176</v>
      </c>
      <c r="M1013" s="2" t="s">
        <v>812</v>
      </c>
      <c r="N1013" s="2" t="s">
        <v>813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customFormat="1" x14ac:dyDescent="0.25">
      <c r="A1014" s="2" t="s">
        <v>3933</v>
      </c>
      <c r="B1014" s="2" t="s">
        <v>3917</v>
      </c>
      <c r="C1014" s="2" t="s">
        <v>3918</v>
      </c>
      <c r="D1014" s="2" t="s">
        <v>8</v>
      </c>
      <c r="E1014" s="2" t="s">
        <v>3934</v>
      </c>
      <c r="F1014" s="2">
        <v>0</v>
      </c>
      <c r="G1014" s="2" t="s">
        <v>3176</v>
      </c>
      <c r="H1014" s="2" t="s">
        <v>3935</v>
      </c>
      <c r="I1014" s="2" t="s">
        <v>3673</v>
      </c>
      <c r="J1014" s="2" t="s">
        <v>3674</v>
      </c>
      <c r="K1014" s="2" t="s">
        <v>237</v>
      </c>
      <c r="L1014" s="2" t="s">
        <v>3176</v>
      </c>
      <c r="M1014" s="2" t="s">
        <v>2706</v>
      </c>
      <c r="N1014" s="2" t="s">
        <v>2706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</row>
    <row r="1015" spans="1:17" x14ac:dyDescent="0.25">
      <c r="A1015" s="2" t="s">
        <v>3922</v>
      </c>
      <c r="B1015" s="2" t="s">
        <v>3917</v>
      </c>
      <c r="C1015" s="2" t="s">
        <v>3918</v>
      </c>
      <c r="D1015" s="2" t="s">
        <v>8</v>
      </c>
      <c r="E1015" s="2" t="s">
        <v>3923</v>
      </c>
      <c r="F1015" s="2">
        <v>1003</v>
      </c>
      <c r="G1015" s="2" t="s">
        <v>807</v>
      </c>
      <c r="H1015" s="2" t="s">
        <v>3924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  <c r="Q1015"/>
    </row>
    <row r="1016" spans="1:17" customFormat="1" x14ac:dyDescent="0.25">
      <c r="A1016" s="2" t="s">
        <v>3916</v>
      </c>
      <c r="B1016" s="2" t="s">
        <v>3917</v>
      </c>
      <c r="C1016" s="2" t="s">
        <v>3918</v>
      </c>
      <c r="D1016" s="2" t="s">
        <v>8</v>
      </c>
      <c r="E1016" s="2" t="s">
        <v>3919</v>
      </c>
      <c r="F1016" s="2">
        <v>1003</v>
      </c>
      <c r="G1016" s="2" t="s">
        <v>807</v>
      </c>
      <c r="H1016" s="2" t="s">
        <v>3920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812</v>
      </c>
      <c r="N1016" s="2" t="s">
        <v>813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3939</v>
      </c>
      <c r="B1017" s="2" t="s">
        <v>3917</v>
      </c>
      <c r="C1017" s="2" t="s">
        <v>3918</v>
      </c>
      <c r="D1017" s="2" t="s">
        <v>8</v>
      </c>
      <c r="E1017" s="2" t="s">
        <v>3940</v>
      </c>
      <c r="F1017" s="2">
        <v>0</v>
      </c>
      <c r="G1017" s="2" t="s">
        <v>3176</v>
      </c>
      <c r="H1017" s="2" t="s">
        <v>3941</v>
      </c>
      <c r="I1017" s="2" t="s">
        <v>3921</v>
      </c>
      <c r="J1017" s="2" t="s">
        <v>2735</v>
      </c>
      <c r="K1017" s="2" t="s">
        <v>220</v>
      </c>
      <c r="L1017" s="2" t="s">
        <v>3176</v>
      </c>
      <c r="M1017" s="2" t="s">
        <v>2706</v>
      </c>
      <c r="N1017" s="2" t="s">
        <v>2706</v>
      </c>
      <c r="O1017" s="2" t="str">
        <f>_xlfn.IFNA(+VLOOKUP(Maestro_Clientes[[#This Row],[Zona]],Tabla1[[#All],[Cruce Reportes]:[ENTREGA ]],2,0),Maestro_Clientes[[#This Row],[Zona]])</f>
        <v>Expreso</v>
      </c>
      <c r="P1017" s="2" t="str">
        <f>+VLOOKUP(Maestro_Clientes[[#This Row],[Entrega]],Preparacion!A:B,2,0)</f>
        <v>Expreso</v>
      </c>
    </row>
    <row r="1018" spans="1:17" customFormat="1" x14ac:dyDescent="0.25">
      <c r="A1018" s="2" t="s">
        <v>5415</v>
      </c>
      <c r="B1018" s="2" t="s">
        <v>3917</v>
      </c>
      <c r="C1018" s="2" t="s">
        <v>3918</v>
      </c>
      <c r="D1018" s="2" t="s">
        <v>8</v>
      </c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5423</v>
      </c>
      <c r="B1019" s="2" t="s">
        <v>3917</v>
      </c>
      <c r="C1019" s="2" t="s">
        <v>3918</v>
      </c>
      <c r="D1019" s="2" t="s">
        <v>8</v>
      </c>
      <c r="O1019" s="2" t="s">
        <v>3176</v>
      </c>
      <c r="P1019" s="2" t="str">
        <f>+VLOOKUP(Maestro_Clientes[[#This Row],[Entrega]],Preparacion!A:B,2,0)</f>
        <v>Expreso</v>
      </c>
    </row>
    <row r="1020" spans="1:17" x14ac:dyDescent="0.25">
      <c r="A1020" s="2" t="s">
        <v>486</v>
      </c>
      <c r="B1020" s="2" t="s">
        <v>482</v>
      </c>
      <c r="C1020" s="2" t="s">
        <v>483</v>
      </c>
      <c r="D1020" s="2" t="s">
        <v>8</v>
      </c>
      <c r="E1020" s="2" t="s">
        <v>485</v>
      </c>
      <c r="F1020" s="2">
        <v>1001</v>
      </c>
      <c r="G1020" s="2" t="s">
        <v>9</v>
      </c>
      <c r="H1020" s="2" t="s">
        <v>484</v>
      </c>
      <c r="I1020" s="2" t="s">
        <v>484</v>
      </c>
      <c r="J1020" s="2" t="s">
        <v>2774</v>
      </c>
      <c r="K1020" s="2" t="s">
        <v>12</v>
      </c>
      <c r="L1020" s="2" t="s">
        <v>394</v>
      </c>
      <c r="M1020" s="2" t="s">
        <v>14</v>
      </c>
      <c r="N1020" s="2" t="s">
        <v>15</v>
      </c>
      <c r="O1020" s="2" t="s">
        <v>3125</v>
      </c>
      <c r="P1020" s="2" t="str">
        <f>+VLOOKUP(Maestro_Clientes[[#This Row],[Entrega]],Preparacion!A:B,2,0)</f>
        <v>MARTES</v>
      </c>
      <c r="Q1020"/>
    </row>
    <row r="1021" spans="1:17" customFormat="1" x14ac:dyDescent="0.25">
      <c r="A1021" s="2" t="s">
        <v>3896</v>
      </c>
      <c r="B1021" s="2" t="s">
        <v>3897</v>
      </c>
      <c r="C1021" s="2" t="s">
        <v>3898</v>
      </c>
      <c r="D1021" s="2" t="s">
        <v>8</v>
      </c>
      <c r="E1021" s="2" t="s">
        <v>3899</v>
      </c>
      <c r="F1021" s="2">
        <v>1028</v>
      </c>
      <c r="G1021" s="2" t="s">
        <v>81</v>
      </c>
      <c r="H1021" s="2" t="s">
        <v>229</v>
      </c>
      <c r="I1021" s="2" t="s">
        <v>3719</v>
      </c>
      <c r="J1021" s="2" t="s">
        <v>3720</v>
      </c>
      <c r="K1021" s="2" t="s">
        <v>126</v>
      </c>
      <c r="L1021" s="2" t="s">
        <v>3176</v>
      </c>
      <c r="M1021" s="2" t="s">
        <v>87</v>
      </c>
      <c r="N1021" s="2" t="s">
        <v>88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4852</v>
      </c>
      <c r="B1022" s="2" t="s">
        <v>4853</v>
      </c>
      <c r="C1022" s="2" t="s">
        <v>4854</v>
      </c>
      <c r="D1022" s="2" t="s">
        <v>8</v>
      </c>
      <c r="E1022" s="2" t="s">
        <v>2205</v>
      </c>
      <c r="F1022" s="2">
        <v>1003</v>
      </c>
      <c r="G1022" s="2" t="s">
        <v>807</v>
      </c>
      <c r="H1022" s="2" t="s">
        <v>3226</v>
      </c>
      <c r="I1022" s="2" t="s">
        <v>175</v>
      </c>
      <c r="J1022" s="2" t="s">
        <v>2728</v>
      </c>
      <c r="K1022" s="2" t="s">
        <v>147</v>
      </c>
      <c r="L1022" s="2" t="s">
        <v>3009</v>
      </c>
      <c r="M1022" s="2" t="s">
        <v>812</v>
      </c>
      <c r="N1022" s="2" t="s">
        <v>813</v>
      </c>
      <c r="O1022" s="2" t="str">
        <f>_xlfn.IFNA(+VLOOKUP(Maestro_Clientes[[#This Row],[Zona]],Tabla1[[#All],[Cruce Reportes]:[ENTREGA ]],2,0),Maestro_Clientes[[#This Row],[Zona]])</f>
        <v>EXPRESO</v>
      </c>
      <c r="P1022" s="2" t="str">
        <f>+VLOOKUP(Maestro_Clientes[[#This Row],[Entrega]],Preparacion!A:B,2,0)</f>
        <v>Expreso</v>
      </c>
    </row>
    <row r="1023" spans="1:17" customFormat="1" x14ac:dyDescent="0.25">
      <c r="A1023" s="2" t="s">
        <v>872</v>
      </c>
      <c r="B1023" s="2" t="s">
        <v>868</v>
      </c>
      <c r="C1023" s="2" t="s">
        <v>869</v>
      </c>
      <c r="D1023" s="2" t="s">
        <v>8</v>
      </c>
      <c r="E1023" s="2" t="s">
        <v>870</v>
      </c>
      <c r="F1023" s="2">
        <v>1001</v>
      </c>
      <c r="G1023" s="2" t="s">
        <v>9</v>
      </c>
      <c r="H1023" s="2" t="s">
        <v>428</v>
      </c>
      <c r="I1023" s="2" t="s">
        <v>62</v>
      </c>
      <c r="J1023" s="2" t="s">
        <v>2823</v>
      </c>
      <c r="K1023" s="2" t="s">
        <v>63</v>
      </c>
      <c r="L1023" s="2" t="s">
        <v>3011</v>
      </c>
      <c r="M1023" s="2" t="s">
        <v>14</v>
      </c>
      <c r="N1023" s="2" t="s">
        <v>15</v>
      </c>
      <c r="O1023" s="2" t="str">
        <f>_xlfn.IFNA(+VLOOKUP(Maestro_Clientes[[#This Row],[Zona]],Tabla1[[#All],[Cruce Reportes]:[ENTREGA ]],2,0),Maestro_Clientes[[#This Row],[Zona]])</f>
        <v>DIARIA</v>
      </c>
      <c r="P1023" s="2" t="str">
        <f>+VLOOKUP(Maestro_Clientes[[#This Row],[Entrega]],Preparacion!A:B,2,0)</f>
        <v>DIARIA</v>
      </c>
    </row>
    <row r="1024" spans="1:17" customFormat="1" x14ac:dyDescent="0.25">
      <c r="A1024" s="2" t="s">
        <v>3900</v>
      </c>
      <c r="B1024" s="2" t="s">
        <v>3901</v>
      </c>
      <c r="C1024" s="2" t="s">
        <v>3902</v>
      </c>
      <c r="D1024" s="2" t="s">
        <v>8</v>
      </c>
      <c r="E1024" s="2" t="s">
        <v>3903</v>
      </c>
      <c r="F1024" s="2">
        <v>1034</v>
      </c>
      <c r="G1024" s="2" t="s">
        <v>158</v>
      </c>
      <c r="H1024" s="2" t="s">
        <v>147</v>
      </c>
      <c r="I1024" s="2" t="s">
        <v>3904</v>
      </c>
      <c r="J1024" s="2" t="s">
        <v>3905</v>
      </c>
      <c r="K1024" s="2" t="s">
        <v>147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customFormat="1" x14ac:dyDescent="0.25">
      <c r="A1025" s="2" t="s">
        <v>383</v>
      </c>
      <c r="B1025" s="2" t="s">
        <v>379</v>
      </c>
      <c r="C1025" s="2" t="s">
        <v>380</v>
      </c>
      <c r="D1025" s="2" t="s">
        <v>8</v>
      </c>
      <c r="E1025" s="2" t="s">
        <v>382</v>
      </c>
      <c r="F1025" s="2">
        <v>1034</v>
      </c>
      <c r="G1025" s="2" t="s">
        <v>158</v>
      </c>
      <c r="H1025" s="2" t="s">
        <v>381</v>
      </c>
      <c r="I1025" s="2" t="s">
        <v>186</v>
      </c>
      <c r="J1025" s="2" t="s">
        <v>2761</v>
      </c>
      <c r="K1025" s="2" t="s">
        <v>186</v>
      </c>
      <c r="L1025" s="2" t="s">
        <v>3176</v>
      </c>
      <c r="M1025" s="2" t="s">
        <v>2706</v>
      </c>
      <c r="N1025" s="2" t="s">
        <v>163</v>
      </c>
      <c r="O1025" s="2" t="str">
        <f>_xlfn.IFNA(+VLOOKUP(Maestro_Clientes[[#This Row],[Zona]],Tabla1[[#All],[Cruce Reportes]:[ENTREGA ]],2,0),Maestro_Clientes[[#This Row],[Zona]])</f>
        <v>Expreso</v>
      </c>
      <c r="P1025" s="2" t="str">
        <f>+VLOOKUP(Maestro_Clientes[[#This Row],[Entrega]],Preparacion!A:B,2,0)</f>
        <v>Expreso</v>
      </c>
    </row>
    <row r="1026" spans="1:17" x14ac:dyDescent="0.25">
      <c r="A1026" s="2" t="s">
        <v>5222</v>
      </c>
      <c r="B1026" s="2" t="s">
        <v>2416</v>
      </c>
      <c r="C1026" s="2" t="s">
        <v>2417</v>
      </c>
      <c r="D1026" s="2" t="s">
        <v>8</v>
      </c>
      <c r="O1026" s="2" t="s">
        <v>3023</v>
      </c>
      <c r="P1026" s="2" t="str">
        <f>+VLOOKUP(Maestro_Clientes[[#This Row],[Entrega]],Preparacion!A:B,2,0)</f>
        <v>JUEVES</v>
      </c>
    </row>
    <row r="1027" spans="1:17" x14ac:dyDescent="0.25">
      <c r="A1027" s="2" t="s">
        <v>2419</v>
      </c>
      <c r="B1027" s="2" t="s">
        <v>2416</v>
      </c>
      <c r="C1027" s="2" t="s">
        <v>2417</v>
      </c>
      <c r="D1027" s="2" t="s">
        <v>8</v>
      </c>
      <c r="E1027" s="2" t="s">
        <v>2418</v>
      </c>
      <c r="F1027" s="2">
        <v>1001</v>
      </c>
      <c r="G1027" s="2" t="s">
        <v>9</v>
      </c>
      <c r="H1027" s="2" t="s">
        <v>984</v>
      </c>
      <c r="I1027" s="2" t="s">
        <v>984</v>
      </c>
      <c r="J1027" s="2" t="s">
        <v>2835</v>
      </c>
      <c r="K1027" s="2" t="s">
        <v>12</v>
      </c>
      <c r="L1027" s="2" t="s">
        <v>3023</v>
      </c>
      <c r="M1027" s="2" t="s">
        <v>14</v>
      </c>
      <c r="N1027" s="2" t="s">
        <v>15</v>
      </c>
      <c r="O1027" s="2" t="str">
        <f>_xlfn.IFNA(+VLOOKUP(Maestro_Clientes[[#This Row],[Zona]],Tabla1[[#All],[Cruce Reportes]:[ENTREGA ]],2,0),Maestro_Clientes[[#This Row],[Zona]])</f>
        <v>LUNES</v>
      </c>
      <c r="P1027" s="2" t="str">
        <f>+VLOOKUP(Maestro_Clientes[[#This Row],[Entrega]],Preparacion!A:B,2,0)</f>
        <v>JUEVES</v>
      </c>
    </row>
    <row r="1028" spans="1:17" customFormat="1" x14ac:dyDescent="0.25">
      <c r="A1028" s="2" t="s">
        <v>570</v>
      </c>
      <c r="B1028" s="2" t="s">
        <v>567</v>
      </c>
      <c r="C1028" s="2" t="s">
        <v>568</v>
      </c>
      <c r="D1028" s="2" t="s">
        <v>8</v>
      </c>
      <c r="E1028" s="2" t="s">
        <v>569</v>
      </c>
      <c r="F1028" s="2">
        <v>0</v>
      </c>
      <c r="G1028" s="2" t="s">
        <v>3176</v>
      </c>
      <c r="H1028" s="2" t="s">
        <v>428</v>
      </c>
      <c r="I1028" s="2" t="s">
        <v>62</v>
      </c>
      <c r="J1028" s="2" t="s">
        <v>2719</v>
      </c>
      <c r="K1028" s="2" t="s">
        <v>63</v>
      </c>
      <c r="L1028" s="2" t="s">
        <v>3011</v>
      </c>
      <c r="M1028" s="2" t="s">
        <v>2706</v>
      </c>
      <c r="N1028" s="2" t="s">
        <v>2706</v>
      </c>
      <c r="O1028" s="2" t="str">
        <f>_xlfn.IFNA(+VLOOKUP(Maestro_Clientes[[#This Row],[Zona]],Tabla1[[#All],[Cruce Reportes]:[ENTREGA ]],2,0),Maestro_Clientes[[#This Row],[Zona]])</f>
        <v>DIARIA</v>
      </c>
      <c r="P1028" s="2" t="str">
        <f>+VLOOKUP(Maestro_Clientes[[#This Row],[Entrega]],Preparacion!A:B,2,0)</f>
        <v>DIARIA</v>
      </c>
    </row>
    <row r="1029" spans="1:17" customFormat="1" x14ac:dyDescent="0.25">
      <c r="A1029" s="2" t="s">
        <v>654</v>
      </c>
      <c r="B1029" s="2" t="s">
        <v>651</v>
      </c>
      <c r="C1029" s="2" t="s">
        <v>652</v>
      </c>
      <c r="D1029" s="2" t="s">
        <v>8</v>
      </c>
      <c r="E1029" s="2" t="s">
        <v>653</v>
      </c>
      <c r="F1029" s="2">
        <v>1001</v>
      </c>
      <c r="G1029" s="2" t="s">
        <v>9</v>
      </c>
      <c r="H1029" s="2" t="s">
        <v>104</v>
      </c>
      <c r="I1029" s="2" t="s">
        <v>104</v>
      </c>
      <c r="J1029" s="2" t="s">
        <v>2716</v>
      </c>
      <c r="K1029" s="2" t="s">
        <v>12</v>
      </c>
      <c r="L1029" s="2" t="s">
        <v>104</v>
      </c>
      <c r="M1029" s="2" t="s">
        <v>14</v>
      </c>
      <c r="N1029" s="2" t="s">
        <v>15</v>
      </c>
      <c r="O1029" s="2" t="s">
        <v>3158</v>
      </c>
      <c r="P1029" s="2" t="str">
        <f>+VLOOKUP(Maestro_Clientes[[#This Row],[Entrega]],Preparacion!A:B,2,0)</f>
        <v>MIERCOLES</v>
      </c>
    </row>
    <row r="1030" spans="1:17" customFormat="1" x14ac:dyDescent="0.25">
      <c r="A1030" s="2" t="s">
        <v>5078</v>
      </c>
      <c r="B1030" s="2" t="s">
        <v>5077</v>
      </c>
      <c r="C1030" s="2" t="s">
        <v>5079</v>
      </c>
      <c r="D1030" s="2" t="s">
        <v>8</v>
      </c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 t="s">
        <v>3176</v>
      </c>
      <c r="P1030" s="2" t="str">
        <f>+VLOOKUP(Maestro_Clientes[[#This Row],[Entrega]],Preparacion!A:B,2,0)</f>
        <v>Expreso</v>
      </c>
    </row>
    <row r="1031" spans="1:17" customFormat="1" x14ac:dyDescent="0.25">
      <c r="A1031" s="2" t="s">
        <v>1610</v>
      </c>
      <c r="B1031" s="2" t="s">
        <v>1607</v>
      </c>
      <c r="C1031" s="2" t="s">
        <v>1608</v>
      </c>
      <c r="D1031" s="2" t="s">
        <v>8</v>
      </c>
      <c r="E1031" s="2" t="s">
        <v>1609</v>
      </c>
      <c r="F1031" s="2">
        <v>1028</v>
      </c>
      <c r="G1031" s="2" t="s">
        <v>81</v>
      </c>
      <c r="H1031" s="2" t="s">
        <v>428</v>
      </c>
      <c r="I1031" s="2" t="s">
        <v>63</v>
      </c>
      <c r="J1031" s="2" t="s">
        <v>2787</v>
      </c>
      <c r="K1031" s="2" t="s">
        <v>63</v>
      </c>
      <c r="L1031" s="2" t="s">
        <v>3011</v>
      </c>
      <c r="M1031" s="2" t="s">
        <v>87</v>
      </c>
      <c r="N1031" s="2" t="s">
        <v>88</v>
      </c>
      <c r="O1031" s="2" t="str">
        <f>_xlfn.IFNA(+VLOOKUP(Maestro_Clientes[[#This Row],[Zona]],Tabla1[[#All],[Cruce Reportes]:[ENTREGA ]],2,0),Maestro_Clientes[[#This Row],[Zona]])</f>
        <v>DIARIA</v>
      </c>
      <c r="P1031" s="2" t="str">
        <f>+VLOOKUP(Maestro_Clientes[[#This Row],[Entrega]],Preparacion!A:B,2,0)</f>
        <v>DIARIA</v>
      </c>
    </row>
    <row r="1032" spans="1:17" customFormat="1" x14ac:dyDescent="0.25">
      <c r="A1032" s="2" t="s">
        <v>5207</v>
      </c>
      <c r="B1032" s="2" t="s">
        <v>5206</v>
      </c>
      <c r="C1032" s="2" t="s">
        <v>5205</v>
      </c>
      <c r="D1032" s="2" t="s">
        <v>8</v>
      </c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 t="s">
        <v>3023</v>
      </c>
      <c r="P1032" s="2" t="str">
        <f>+VLOOKUP(Maestro_Clientes[[#This Row],[Entrega]],Preparacion!A:B,2,0)</f>
        <v>JUEVES</v>
      </c>
      <c r="Q1032" s="2"/>
    </row>
    <row r="1033" spans="1:17" x14ac:dyDescent="0.25">
      <c r="A1033" s="2" t="s">
        <v>1931</v>
      </c>
      <c r="B1033" s="2" t="s">
        <v>1927</v>
      </c>
      <c r="C1033" s="2" t="s">
        <v>1928</v>
      </c>
      <c r="D1033" s="2" t="s">
        <v>8</v>
      </c>
      <c r="E1033" s="2" t="s">
        <v>1930</v>
      </c>
      <c r="F1033" s="2">
        <v>1002</v>
      </c>
      <c r="G1033" s="2" t="s">
        <v>34</v>
      </c>
      <c r="H1033" s="2" t="s">
        <v>1929</v>
      </c>
      <c r="I1033" s="2" t="s">
        <v>1015</v>
      </c>
      <c r="J1033" s="2" t="s">
        <v>2838</v>
      </c>
      <c r="K1033" s="2" t="s">
        <v>1015</v>
      </c>
      <c r="L1033" s="2" t="s">
        <v>3176</v>
      </c>
      <c r="M1033" s="2" t="s">
        <v>39</v>
      </c>
      <c r="N1033" s="2" t="s">
        <v>40</v>
      </c>
      <c r="O1033" s="2" t="str">
        <f>_xlfn.IFNA(+VLOOKUP(Maestro_Clientes[[#This Row],[Zona]],Tabla1[[#All],[Cruce Reportes]:[ENTREGA ]],2,0),Maestro_Clientes[[#This Row],[Zona]])</f>
        <v>Expreso</v>
      </c>
      <c r="P1033" s="2" t="str">
        <f>+VLOOKUP(Maestro_Clientes[[#This Row],[Entrega]],Preparacion!A:B,2,0)</f>
        <v>Expreso</v>
      </c>
      <c r="Q1033"/>
    </row>
    <row r="1034" spans="1:17" customFormat="1" x14ac:dyDescent="0.25">
      <c r="A1034" s="2" t="s">
        <v>658</v>
      </c>
      <c r="B1034" s="2" t="s">
        <v>655</v>
      </c>
      <c r="C1034" s="2" t="s">
        <v>656</v>
      </c>
      <c r="D1034" s="2" t="s">
        <v>8</v>
      </c>
      <c r="E1034" s="2" t="s">
        <v>657</v>
      </c>
      <c r="F1034" s="2">
        <v>1001</v>
      </c>
      <c r="G1034" s="2" t="s">
        <v>9</v>
      </c>
      <c r="H1034" s="2" t="s">
        <v>104</v>
      </c>
      <c r="I1034" s="2" t="s">
        <v>104</v>
      </c>
      <c r="J1034" s="2" t="s">
        <v>2716</v>
      </c>
      <c r="K1034" s="2" t="s">
        <v>12</v>
      </c>
      <c r="L1034" s="2" t="s">
        <v>104</v>
      </c>
      <c r="M1034" s="2" t="s">
        <v>14</v>
      </c>
      <c r="N1034" s="2" t="s">
        <v>15</v>
      </c>
      <c r="O1034" s="2" t="s">
        <v>3158</v>
      </c>
      <c r="P1034" s="2" t="str">
        <f>+VLOOKUP(Maestro_Clientes[[#This Row],[Entrega]],Preparacion!A:B,2,0)</f>
        <v>MIERCOLES</v>
      </c>
    </row>
    <row r="1035" spans="1:17" customFormat="1" x14ac:dyDescent="0.25">
      <c r="A1035" s="2" t="s">
        <v>4038</v>
      </c>
      <c r="B1035" s="2" t="s">
        <v>4039</v>
      </c>
      <c r="C1035" s="2" t="s">
        <v>4040</v>
      </c>
      <c r="D1035" s="2" t="s">
        <v>24</v>
      </c>
      <c r="E1035" s="2" t="s">
        <v>4041</v>
      </c>
      <c r="F1035" s="2">
        <v>0</v>
      </c>
      <c r="G1035" s="2" t="s">
        <v>3176</v>
      </c>
      <c r="H1035" s="2" t="s">
        <v>852</v>
      </c>
      <c r="I1035" s="2" t="s">
        <v>852</v>
      </c>
      <c r="J1035" s="2" t="s">
        <v>2743</v>
      </c>
      <c r="K1035" s="2" t="s">
        <v>12</v>
      </c>
      <c r="L1035" s="2" t="s">
        <v>256</v>
      </c>
      <c r="M1035" s="2" t="s">
        <v>2706</v>
      </c>
      <c r="N1035" s="2" t="s">
        <v>2706</v>
      </c>
      <c r="O1035" s="2" t="str">
        <f>_xlfn.IFNA(+VLOOKUP(Maestro_Clientes[[#This Row],[Zona]],Tabla1[[#All],[Cruce Reportes]:[ENTREGA ]],2,0),Maestro_Clientes[[#This Row],[Zona]])</f>
        <v>LUNES</v>
      </c>
      <c r="P1035" s="2" t="str">
        <f>+VLOOKUP(Maestro_Clientes[[#This Row],[Entrega]],Preparacion!A:B,2,0)</f>
        <v>JUEVES</v>
      </c>
      <c r="Q1035" s="2"/>
    </row>
    <row r="1036" spans="1:17" customFormat="1" x14ac:dyDescent="0.25">
      <c r="A1036" s="2" t="s">
        <v>4922</v>
      </c>
      <c r="B1036" s="2" t="s">
        <v>4923</v>
      </c>
      <c r="C1036" s="2" t="s">
        <v>4924</v>
      </c>
      <c r="D1036" s="2" t="s">
        <v>24</v>
      </c>
      <c r="E1036" s="2" t="s">
        <v>2534</v>
      </c>
      <c r="F1036" s="2">
        <v>1002</v>
      </c>
      <c r="G1036" s="2" t="s">
        <v>34</v>
      </c>
      <c r="H1036" s="2" t="s">
        <v>229</v>
      </c>
      <c r="I1036" s="2" t="s">
        <v>4925</v>
      </c>
      <c r="J1036" s="2" t="s">
        <v>2990</v>
      </c>
      <c r="K1036" s="2" t="s">
        <v>126</v>
      </c>
      <c r="L1036" s="2" t="s">
        <v>3176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Expreso</v>
      </c>
      <c r="P1036" s="2" t="str">
        <f>+VLOOKUP(Maestro_Clientes[[#This Row],[Entrega]],Preparacion!A:B,2,0)</f>
        <v>Expreso</v>
      </c>
    </row>
    <row r="1037" spans="1:17" customFormat="1" x14ac:dyDescent="0.25">
      <c r="A1037" s="2" t="s">
        <v>4882</v>
      </c>
      <c r="B1037" s="2" t="s">
        <v>4883</v>
      </c>
      <c r="C1037" s="2" t="s">
        <v>4884</v>
      </c>
      <c r="D1037" s="2" t="s">
        <v>8</v>
      </c>
      <c r="E1037" s="2" t="s">
        <v>4885</v>
      </c>
      <c r="F1037" s="2">
        <v>1002</v>
      </c>
      <c r="G1037" s="2" t="s">
        <v>34</v>
      </c>
      <c r="H1037" s="2" t="s">
        <v>784</v>
      </c>
      <c r="I1037" s="2" t="s">
        <v>784</v>
      </c>
      <c r="J1037" s="2" t="s">
        <v>2813</v>
      </c>
      <c r="K1037" s="2" t="s">
        <v>12</v>
      </c>
      <c r="L1037" s="2" t="s">
        <v>3068</v>
      </c>
      <c r="M1037" s="2" t="s">
        <v>39</v>
      </c>
      <c r="N1037" s="2" t="s">
        <v>40</v>
      </c>
      <c r="O1037" s="2" t="str">
        <f>_xlfn.IFNA(+VLOOKUP(Maestro_Clientes[[#This Row],[Zona]],Tabla1[[#All],[Cruce Reportes]:[ENTREGA ]],2,0),Maestro_Clientes[[#This Row],[Zona]])</f>
        <v>MARTES</v>
      </c>
      <c r="P1037" s="2" t="str">
        <f>+VLOOKUP(Maestro_Clientes[[#This Row],[Entrega]],Preparacion!A:B,2,0)</f>
        <v>VIERNES</v>
      </c>
    </row>
    <row r="1038" spans="1:17" customFormat="1" x14ac:dyDescent="0.25">
      <c r="A1038" s="2" t="s">
        <v>1087</v>
      </c>
      <c r="B1038" s="2" t="s">
        <v>1084</v>
      </c>
      <c r="C1038" s="2" t="s">
        <v>1085</v>
      </c>
      <c r="D1038" s="2" t="s">
        <v>8</v>
      </c>
      <c r="E1038" s="2" t="s">
        <v>1086</v>
      </c>
      <c r="F1038" s="2">
        <v>1001</v>
      </c>
      <c r="G1038" s="2" t="s">
        <v>9</v>
      </c>
      <c r="H1038" s="2" t="s">
        <v>428</v>
      </c>
      <c r="I1038" s="2" t="s">
        <v>62</v>
      </c>
      <c r="J1038" s="2" t="s">
        <v>2719</v>
      </c>
      <c r="K1038" s="2" t="s">
        <v>63</v>
      </c>
      <c r="L1038" s="2" t="s">
        <v>3011</v>
      </c>
      <c r="M1038" s="2" t="s">
        <v>14</v>
      </c>
      <c r="N1038" s="2" t="s">
        <v>15</v>
      </c>
      <c r="O1038" s="2" t="str">
        <f>_xlfn.IFNA(+VLOOKUP(Maestro_Clientes[[#This Row],[Zona]],Tabla1[[#All],[Cruce Reportes]:[ENTREGA ]],2,0),Maestro_Clientes[[#This Row],[Zona]])</f>
        <v>DIARIA</v>
      </c>
      <c r="P1038" s="2" t="str">
        <f>+VLOOKUP(Maestro_Clientes[[#This Row],[Entrega]],Preparacion!A:B,2,0)</f>
        <v>DIARIA</v>
      </c>
    </row>
    <row r="1039" spans="1:17" customFormat="1" x14ac:dyDescent="0.25">
      <c r="A1039" s="2" t="s">
        <v>1277</v>
      </c>
      <c r="B1039" s="2" t="s">
        <v>1272</v>
      </c>
      <c r="C1039" s="2" t="s">
        <v>1273</v>
      </c>
      <c r="D1039" s="2" t="s">
        <v>8</v>
      </c>
      <c r="E1039" s="2" t="s">
        <v>1275</v>
      </c>
      <c r="F1039" s="2">
        <v>1034</v>
      </c>
      <c r="G1039" s="2" t="s">
        <v>158</v>
      </c>
      <c r="H1039" s="2" t="s">
        <v>1274</v>
      </c>
      <c r="I1039" s="2" t="s">
        <v>1276</v>
      </c>
      <c r="J1039" s="2" t="s">
        <v>2864</v>
      </c>
      <c r="K1039" s="2" t="s">
        <v>518</v>
      </c>
      <c r="L1039" s="2" t="s">
        <v>3176</v>
      </c>
      <c r="M1039" s="2" t="s">
        <v>2706</v>
      </c>
      <c r="N1039" s="2" t="s">
        <v>163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2246</v>
      </c>
      <c r="B1040" s="2" t="s">
        <v>2242</v>
      </c>
      <c r="C1040" s="2" t="s">
        <v>2243</v>
      </c>
      <c r="D1040" s="2" t="s">
        <v>8</v>
      </c>
      <c r="E1040" s="2" t="s">
        <v>2244</v>
      </c>
      <c r="F1040" s="2">
        <v>1014</v>
      </c>
      <c r="G1040" s="2" t="s">
        <v>59</v>
      </c>
      <c r="H1040" s="2" t="s">
        <v>166</v>
      </c>
      <c r="I1040" s="2" t="s">
        <v>2245</v>
      </c>
      <c r="J1040" s="2" t="s">
        <v>2960</v>
      </c>
      <c r="K1040" s="2" t="s">
        <v>169</v>
      </c>
      <c r="L1040" s="2" t="s">
        <v>3176</v>
      </c>
      <c r="M1040" s="2" t="s">
        <v>2706</v>
      </c>
      <c r="N1040" s="2" t="s">
        <v>66</v>
      </c>
      <c r="O1040" s="2" t="str">
        <f>_xlfn.IFNA(+VLOOKUP(Maestro_Clientes[[#This Row],[Zona]],Tabla1[[#All],[Cruce Reportes]:[ENTREGA ]],2,0),Maestro_Clientes[[#This Row],[Zona]])</f>
        <v>Expreso</v>
      </c>
      <c r="P1040" s="2" t="str">
        <f>+VLOOKUP(Maestro_Clientes[[#This Row],[Entrega]],Preparacion!A:B,2,0)</f>
        <v>Expreso</v>
      </c>
    </row>
    <row r="1041" spans="1:17" customFormat="1" x14ac:dyDescent="0.25">
      <c r="A1041" s="2" t="s">
        <v>4892</v>
      </c>
      <c r="B1041" s="2" t="s">
        <v>4893</v>
      </c>
      <c r="C1041" s="2" t="s">
        <v>4894</v>
      </c>
      <c r="D1041" s="2" t="s">
        <v>8</v>
      </c>
      <c r="E1041" s="2" t="s">
        <v>4895</v>
      </c>
      <c r="F1041" s="2">
        <v>1001</v>
      </c>
      <c r="G1041" s="2" t="s">
        <v>9</v>
      </c>
      <c r="H1041" s="2" t="s">
        <v>398</v>
      </c>
      <c r="I1041" s="2" t="s">
        <v>398</v>
      </c>
      <c r="J1041" s="2" t="s">
        <v>2764</v>
      </c>
      <c r="K1041" s="2" t="s">
        <v>12</v>
      </c>
      <c r="L1041" s="2" t="s">
        <v>3068</v>
      </c>
      <c r="M1041" s="2" t="s">
        <v>14</v>
      </c>
      <c r="N1041" s="2" t="s">
        <v>15</v>
      </c>
      <c r="O1041" s="2" t="str">
        <f>_xlfn.IFNA(+VLOOKUP(Maestro_Clientes[[#This Row],[Zona]],Tabla1[[#All],[Cruce Reportes]:[ENTREGA ]],2,0),Maestro_Clientes[[#This Row],[Zona]])</f>
        <v>MARTES</v>
      </c>
      <c r="P1041" s="2" t="str">
        <f>+VLOOKUP(Maestro_Clientes[[#This Row],[Entrega]],Preparacion!A:B,2,0)</f>
        <v>VIERNES</v>
      </c>
    </row>
    <row r="1042" spans="1:17" customFormat="1" x14ac:dyDescent="0.25">
      <c r="A1042" s="2" t="s">
        <v>3942</v>
      </c>
      <c r="B1042" s="2" t="s">
        <v>3943</v>
      </c>
      <c r="C1042" s="2" t="s">
        <v>3944</v>
      </c>
      <c r="D1042" s="2" t="s">
        <v>8</v>
      </c>
      <c r="E1042" s="2" t="s">
        <v>3945</v>
      </c>
      <c r="F1042" s="2">
        <v>1028</v>
      </c>
      <c r="G1042" s="2" t="s">
        <v>81</v>
      </c>
      <c r="H1042" s="2" t="s">
        <v>229</v>
      </c>
      <c r="I1042" s="2" t="s">
        <v>3946</v>
      </c>
      <c r="J1042" s="2" t="s">
        <v>3947</v>
      </c>
      <c r="K1042" s="2" t="s">
        <v>126</v>
      </c>
      <c r="L1042" s="2" t="s">
        <v>3176</v>
      </c>
      <c r="M1042" s="2" t="s">
        <v>87</v>
      </c>
      <c r="N1042" s="2" t="s">
        <v>88</v>
      </c>
      <c r="O1042" s="2" t="str">
        <f>_xlfn.IFNA(+VLOOKUP(Maestro_Clientes[[#This Row],[Zona]],Tabla1[[#All],[Cruce Reportes]:[ENTREGA ]],2,0),Maestro_Clientes[[#This Row],[Zona]])</f>
        <v>Expreso</v>
      </c>
      <c r="P1042" s="2" t="str">
        <f>+VLOOKUP(Maestro_Clientes[[#This Row],[Entrega]],Preparacion!A:B,2,0)</f>
        <v>Expreso</v>
      </c>
    </row>
    <row r="1043" spans="1:17" x14ac:dyDescent="0.25">
      <c r="A1043" s="2" t="s">
        <v>4959</v>
      </c>
      <c r="B1043" s="2" t="s">
        <v>4938</v>
      </c>
      <c r="C1043" s="2" t="s">
        <v>4973</v>
      </c>
      <c r="D1043" s="2" t="s">
        <v>8</v>
      </c>
      <c r="O1043" s="2" t="s">
        <v>3176</v>
      </c>
      <c r="P1043" s="2" t="str">
        <f>+VLOOKUP(Maestro_Clientes[[#This Row],[Entrega]],Preparacion!A:B,2,0)</f>
        <v>Expreso</v>
      </c>
      <c r="Q1043"/>
    </row>
    <row r="1044" spans="1:17" customFormat="1" x14ac:dyDescent="0.25">
      <c r="A1044" s="2" t="s">
        <v>430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tr">
        <f>_xlfn.IFNA(+VLOOKUP(Maestro_Clientes[[#This Row],[Zona]],Tabla1[[#All],[Cruce Reportes]:[ENTREGA ]],2,0),Maestro_Clientes[[#This Row],[Zona]])</f>
        <v>DIARIA</v>
      </c>
      <c r="P1044" s="2" t="str">
        <f>+VLOOKUP(Maestro_Clientes[[#This Row],[Entrega]],Preparacion!A:B,2,0)</f>
        <v>DIARIA</v>
      </c>
    </row>
    <row r="1045" spans="1:17" customFormat="1" x14ac:dyDescent="0.25">
      <c r="A1045" s="2" t="s">
        <v>4955</v>
      </c>
      <c r="B1045" s="2" t="s">
        <v>426</v>
      </c>
      <c r="C1045" s="2" t="s">
        <v>427</v>
      </c>
      <c r="D1045" s="2" t="s">
        <v>8</v>
      </c>
      <c r="E1045" s="2" t="s">
        <v>429</v>
      </c>
      <c r="F1045" s="2">
        <v>1001</v>
      </c>
      <c r="G1045" s="2" t="s">
        <v>9</v>
      </c>
      <c r="H1045" s="2" t="s">
        <v>428</v>
      </c>
      <c r="I1045" s="2" t="s">
        <v>62</v>
      </c>
      <c r="J1045" s="2" t="s">
        <v>2719</v>
      </c>
      <c r="K1045" s="2" t="s">
        <v>63</v>
      </c>
      <c r="L1045" s="2" t="s">
        <v>3011</v>
      </c>
      <c r="M1045" s="2" t="s">
        <v>14</v>
      </c>
      <c r="N1045" s="2" t="s">
        <v>15</v>
      </c>
      <c r="O1045" s="2" t="s">
        <v>3068</v>
      </c>
      <c r="P1045" s="2" t="str">
        <f>+VLOOKUP(Maestro_Clientes[[#This Row],[Entrega]],Preparacion!A:B,2,0)</f>
        <v>VIERNES</v>
      </c>
    </row>
    <row r="1046" spans="1:17" customFormat="1" x14ac:dyDescent="0.25">
      <c r="A1046" s="2" t="s">
        <v>4143</v>
      </c>
      <c r="B1046" s="2" t="s">
        <v>4144</v>
      </c>
      <c r="C1046" s="2" t="s">
        <v>4145</v>
      </c>
      <c r="D1046" s="2" t="s">
        <v>8</v>
      </c>
      <c r="E1046" s="2" t="s">
        <v>4146</v>
      </c>
      <c r="F1046" s="2">
        <v>0</v>
      </c>
      <c r="G1046" s="2" t="s">
        <v>3176</v>
      </c>
      <c r="H1046" s="2" t="s">
        <v>1063</v>
      </c>
      <c r="I1046" s="2" t="s">
        <v>1063</v>
      </c>
      <c r="J1046" s="2" t="s">
        <v>2844</v>
      </c>
      <c r="K1046" s="2" t="s">
        <v>12</v>
      </c>
      <c r="L1046" s="2" t="s">
        <v>3176</v>
      </c>
      <c r="M1046" s="2" t="s">
        <v>2706</v>
      </c>
      <c r="N1046" s="2" t="s">
        <v>2706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customFormat="1" x14ac:dyDescent="0.25">
      <c r="A1047" s="2" t="s">
        <v>370</v>
      </c>
      <c r="B1047" s="2" t="s">
        <v>365</v>
      </c>
      <c r="C1047" s="2" t="s">
        <v>366</v>
      </c>
      <c r="D1047" s="2" t="s">
        <v>8</v>
      </c>
      <c r="E1047" s="2" t="s">
        <v>368</v>
      </c>
      <c r="F1047" s="2">
        <v>1014</v>
      </c>
      <c r="G1047" s="2" t="s">
        <v>59</v>
      </c>
      <c r="H1047" s="2" t="s">
        <v>367</v>
      </c>
      <c r="I1047" s="2" t="s">
        <v>369</v>
      </c>
      <c r="J1047" s="2" t="s">
        <v>2758</v>
      </c>
      <c r="K1047" s="2" t="s">
        <v>12</v>
      </c>
      <c r="L1047" s="2" t="s">
        <v>3176</v>
      </c>
      <c r="M1047" s="2" t="s">
        <v>2706</v>
      </c>
      <c r="N1047" s="2" t="s">
        <v>66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</row>
    <row r="1048" spans="1:17" x14ac:dyDescent="0.25">
      <c r="A1048" s="2" t="s">
        <v>1460</v>
      </c>
      <c r="B1048" s="2" t="s">
        <v>1456</v>
      </c>
      <c r="C1048" s="2" t="s">
        <v>1457</v>
      </c>
      <c r="D1048" s="2" t="s">
        <v>8</v>
      </c>
      <c r="E1048" s="2" t="s">
        <v>1459</v>
      </c>
      <c r="F1048" s="2">
        <v>1002</v>
      </c>
      <c r="G1048" s="2" t="s">
        <v>34</v>
      </c>
      <c r="H1048" s="2" t="s">
        <v>1458</v>
      </c>
      <c r="I1048" s="2" t="s">
        <v>288</v>
      </c>
      <c r="J1048" s="2" t="s">
        <v>2850</v>
      </c>
      <c r="K1048" s="2" t="s">
        <v>288</v>
      </c>
      <c r="L1048" s="2" t="s">
        <v>3176</v>
      </c>
      <c r="M1048" s="2" t="s">
        <v>39</v>
      </c>
      <c r="N1048" s="2" t="s">
        <v>40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x14ac:dyDescent="0.25">
      <c r="A1049" s="2" t="s">
        <v>3948</v>
      </c>
      <c r="B1049" s="2" t="s">
        <v>3949</v>
      </c>
      <c r="C1049" s="2" t="s">
        <v>3950</v>
      </c>
      <c r="D1049" s="2" t="s">
        <v>8</v>
      </c>
      <c r="E1049" s="2" t="s">
        <v>3951</v>
      </c>
      <c r="F1049" s="2">
        <v>1028</v>
      </c>
      <c r="G1049" s="2" t="s">
        <v>81</v>
      </c>
      <c r="H1049" s="2" t="s">
        <v>3952</v>
      </c>
      <c r="I1049" s="2" t="s">
        <v>1050</v>
      </c>
      <c r="J1049" s="2" t="s">
        <v>2843</v>
      </c>
      <c r="K1049" s="2" t="s">
        <v>531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  <c r="Q1049"/>
    </row>
    <row r="1050" spans="1:17" customFormat="1" x14ac:dyDescent="0.25">
      <c r="A1050" s="2" t="s">
        <v>2446</v>
      </c>
      <c r="B1050" s="2" t="s">
        <v>2443</v>
      </c>
      <c r="C1050" s="2" t="s">
        <v>2444</v>
      </c>
      <c r="D1050" s="2" t="s">
        <v>8</v>
      </c>
      <c r="E1050" s="2" t="s">
        <v>2445</v>
      </c>
      <c r="F1050" s="2">
        <v>1028</v>
      </c>
      <c r="G1050" s="2" t="s">
        <v>81</v>
      </c>
      <c r="H1050" s="2" t="s">
        <v>267</v>
      </c>
      <c r="I1050" s="2" t="s">
        <v>237</v>
      </c>
      <c r="J1050" s="2" t="s">
        <v>2738</v>
      </c>
      <c r="K1050" s="2" t="s">
        <v>237</v>
      </c>
      <c r="L1050" s="2" t="s">
        <v>3176</v>
      </c>
      <c r="M1050" s="2" t="s">
        <v>87</v>
      </c>
      <c r="N1050" s="2" t="s">
        <v>88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4886</v>
      </c>
      <c r="B1051" s="2" t="s">
        <v>4887</v>
      </c>
      <c r="C1051" s="2" t="s">
        <v>4888</v>
      </c>
      <c r="D1051" s="2" t="s">
        <v>8</v>
      </c>
      <c r="E1051" s="2" t="s">
        <v>4889</v>
      </c>
      <c r="F1051" s="2">
        <v>1014</v>
      </c>
      <c r="G1051" s="2" t="s">
        <v>59</v>
      </c>
      <c r="H1051" s="2" t="s">
        <v>229</v>
      </c>
      <c r="I1051" s="2" t="s">
        <v>4890</v>
      </c>
      <c r="J1051" s="2" t="s">
        <v>4891</v>
      </c>
      <c r="K1051" s="2" t="s">
        <v>126</v>
      </c>
      <c r="L1051" s="2" t="s">
        <v>3009</v>
      </c>
      <c r="M1051" s="2" t="s">
        <v>2706</v>
      </c>
      <c r="N1051" s="2" t="s">
        <v>66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2181</v>
      </c>
      <c r="B1052" s="2" t="s">
        <v>2177</v>
      </c>
      <c r="C1052" s="2" t="s">
        <v>2178</v>
      </c>
      <c r="D1052" s="2" t="s">
        <v>8</v>
      </c>
      <c r="E1052" s="2" t="s">
        <v>2180</v>
      </c>
      <c r="F1052" s="2">
        <v>1028</v>
      </c>
      <c r="G1052" s="2" t="s">
        <v>81</v>
      </c>
      <c r="H1052" s="2" t="s">
        <v>2179</v>
      </c>
      <c r="I1052" s="2" t="s">
        <v>126</v>
      </c>
      <c r="J1052" s="2" t="s">
        <v>2953</v>
      </c>
      <c r="K1052" s="2" t="s">
        <v>126</v>
      </c>
      <c r="L1052" s="2" t="s">
        <v>3176</v>
      </c>
      <c r="M1052" s="2" t="s">
        <v>87</v>
      </c>
      <c r="N1052" s="2" t="s">
        <v>88</v>
      </c>
      <c r="O1052" s="2" t="str">
        <f>_xlfn.IFNA(+VLOOKUP(Maestro_Clientes[[#This Row],[Zona]],Tabla1[[#All],[Cruce Reportes]:[ENTREGA ]],2,0),Maestro_Clientes[[#This Row],[Zona]])</f>
        <v>Expreso</v>
      </c>
      <c r="P1052" s="2" t="str">
        <f>+VLOOKUP(Maestro_Clientes[[#This Row],[Entrega]],Preparacion!A:B,2,0)</f>
        <v>Expreso</v>
      </c>
    </row>
    <row r="1053" spans="1:17" customFormat="1" x14ac:dyDescent="0.25">
      <c r="A1053" s="2" t="s">
        <v>1818</v>
      </c>
      <c r="B1053" s="2" t="s">
        <v>1813</v>
      </c>
      <c r="C1053" s="2" t="s">
        <v>1814</v>
      </c>
      <c r="D1053" s="2" t="s">
        <v>8</v>
      </c>
      <c r="E1053" s="2" t="s">
        <v>1816</v>
      </c>
      <c r="F1053" s="2">
        <v>1025</v>
      </c>
      <c r="G1053" s="2" t="s">
        <v>113</v>
      </c>
      <c r="H1053" s="2" t="s">
        <v>1815</v>
      </c>
      <c r="I1053" s="2" t="s">
        <v>1817</v>
      </c>
      <c r="J1053" s="2" t="s">
        <v>2920</v>
      </c>
      <c r="K1053" s="2" t="s">
        <v>12</v>
      </c>
      <c r="L1053" s="2" t="s">
        <v>104</v>
      </c>
      <c r="M1053" s="2" t="s">
        <v>118</v>
      </c>
      <c r="N1053" s="2" t="s">
        <v>119</v>
      </c>
      <c r="O1053" s="2" t="s">
        <v>3158</v>
      </c>
      <c r="P1053" s="2" t="str">
        <f>+VLOOKUP(Maestro_Clientes[[#This Row],[Entrega]],Preparacion!A:B,2,0)</f>
        <v>MIERCOLES</v>
      </c>
    </row>
    <row r="1054" spans="1:17" customFormat="1" x14ac:dyDescent="0.25">
      <c r="A1054" s="2" t="s">
        <v>1570</v>
      </c>
      <c r="B1054" s="2" t="s">
        <v>1566</v>
      </c>
      <c r="C1054" s="2" t="s">
        <v>1567</v>
      </c>
      <c r="D1054" s="2" t="s">
        <v>8</v>
      </c>
      <c r="E1054" s="2" t="s">
        <v>1569</v>
      </c>
      <c r="F1054" s="2">
        <v>1002</v>
      </c>
      <c r="G1054" s="2" t="s">
        <v>34</v>
      </c>
      <c r="H1054" s="2" t="s">
        <v>1568</v>
      </c>
      <c r="I1054" s="2" t="s">
        <v>713</v>
      </c>
      <c r="J1054" s="2" t="s">
        <v>2803</v>
      </c>
      <c r="K1054" s="2" t="s">
        <v>12</v>
      </c>
      <c r="L1054" s="2" t="s">
        <v>3176</v>
      </c>
      <c r="M1054" s="2" t="s">
        <v>39</v>
      </c>
      <c r="N1054" s="2" t="s">
        <v>40</v>
      </c>
      <c r="O1054" s="2" t="str">
        <f>_xlfn.IFNA(+VLOOKUP(Maestro_Clientes[[#This Row],[Zona]],Tabla1[[#All],[Cruce Reportes]:[ENTREGA ]],2,0),Maestro_Clientes[[#This Row],[Zona]])</f>
        <v>Expreso</v>
      </c>
      <c r="P1054" s="2" t="str">
        <f>+VLOOKUP(Maestro_Clientes[[#This Row],[Entrega]],Preparacion!A:B,2,0)</f>
        <v>Expreso</v>
      </c>
    </row>
    <row r="1055" spans="1:17" customFormat="1" x14ac:dyDescent="0.25">
      <c r="A1055" s="2" t="s">
        <v>5228</v>
      </c>
      <c r="B1055" s="2" t="s">
        <v>5226</v>
      </c>
      <c r="C1055" s="2" t="s">
        <v>5227</v>
      </c>
      <c r="D1055" s="2" t="s">
        <v>8</v>
      </c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 t="s">
        <v>3023</v>
      </c>
      <c r="P1055" s="2" t="str">
        <f>+VLOOKUP(Maestro_Clientes[[#This Row],[Entrega]],Preparacion!A:B,2,0)</f>
        <v>JUEVES</v>
      </c>
      <c r="Q1055" s="2"/>
    </row>
    <row r="1056" spans="1:17" customFormat="1" x14ac:dyDescent="0.25">
      <c r="A1056" s="2" t="s">
        <v>3953</v>
      </c>
      <c r="B1056" s="2" t="s">
        <v>338</v>
      </c>
      <c r="C1056" s="2" t="s">
        <v>339</v>
      </c>
      <c r="D1056" s="2" t="s">
        <v>8</v>
      </c>
      <c r="E1056" s="2" t="s">
        <v>3954</v>
      </c>
      <c r="F1056" s="2">
        <v>1003</v>
      </c>
      <c r="G1056" s="2" t="s">
        <v>807</v>
      </c>
      <c r="H1056" s="2" t="s">
        <v>2706</v>
      </c>
      <c r="I1056" s="2" t="s">
        <v>237</v>
      </c>
      <c r="J1056" s="2" t="s">
        <v>2738</v>
      </c>
      <c r="K1056" s="2" t="s">
        <v>237</v>
      </c>
      <c r="L1056" s="2" t="s">
        <v>3176</v>
      </c>
      <c r="M1056" s="2" t="s">
        <v>812</v>
      </c>
      <c r="N1056" s="2" t="s">
        <v>813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2682</v>
      </c>
      <c r="B1057" s="2" t="s">
        <v>338</v>
      </c>
      <c r="C1057" s="2" t="s">
        <v>339</v>
      </c>
      <c r="D1057" s="2" t="s">
        <v>8</v>
      </c>
      <c r="E1057" s="2" t="s">
        <v>2680</v>
      </c>
      <c r="F1057" s="2">
        <v>1028</v>
      </c>
      <c r="G1057" s="2" t="s">
        <v>81</v>
      </c>
      <c r="H1057" s="2" t="s">
        <v>2679</v>
      </c>
      <c r="I1057" s="2" t="s">
        <v>2681</v>
      </c>
      <c r="J1057" s="2" t="s">
        <v>2738</v>
      </c>
      <c r="K1057" s="2" t="s">
        <v>237</v>
      </c>
      <c r="L1057" s="2" t="s">
        <v>3176</v>
      </c>
      <c r="M1057" s="2" t="s">
        <v>87</v>
      </c>
      <c r="N1057" s="2" t="s">
        <v>88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342</v>
      </c>
      <c r="B1058" s="2" t="s">
        <v>338</v>
      </c>
      <c r="C1058" s="2" t="s">
        <v>339</v>
      </c>
      <c r="D1058" s="2" t="s">
        <v>8</v>
      </c>
      <c r="E1058" s="2" t="s">
        <v>341</v>
      </c>
      <c r="F1058" s="2">
        <v>1034</v>
      </c>
      <c r="G1058" s="2" t="s">
        <v>158</v>
      </c>
      <c r="H1058" s="2" t="s">
        <v>340</v>
      </c>
      <c r="I1058" s="2" t="s">
        <v>237</v>
      </c>
      <c r="J1058" s="2" t="s">
        <v>2738</v>
      </c>
      <c r="K1058" s="2" t="s">
        <v>237</v>
      </c>
      <c r="L1058" s="2" t="s">
        <v>3176</v>
      </c>
      <c r="M1058" s="2" t="s">
        <v>2706</v>
      </c>
      <c r="N1058" s="2" t="s">
        <v>163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customFormat="1" x14ac:dyDescent="0.25">
      <c r="A1059" s="2" t="s">
        <v>2103</v>
      </c>
      <c r="B1059" s="2" t="s">
        <v>338</v>
      </c>
      <c r="C1059" s="2" t="s">
        <v>339</v>
      </c>
      <c r="D1059" s="2" t="s">
        <v>8</v>
      </c>
      <c r="E1059" s="2" t="s">
        <v>2101</v>
      </c>
      <c r="F1059" s="2">
        <v>1028</v>
      </c>
      <c r="G1059" s="2" t="s">
        <v>81</v>
      </c>
      <c r="H1059" s="2" t="s">
        <v>2100</v>
      </c>
      <c r="I1059" s="2" t="s">
        <v>2102</v>
      </c>
      <c r="J1059" s="2" t="s">
        <v>2768</v>
      </c>
      <c r="K1059" s="2" t="s">
        <v>440</v>
      </c>
      <c r="L1059" s="2" t="s">
        <v>3176</v>
      </c>
      <c r="M1059" s="2" t="s">
        <v>87</v>
      </c>
      <c r="N1059" s="2" t="s">
        <v>88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</row>
    <row r="1060" spans="1:17" x14ac:dyDescent="0.25">
      <c r="A1060" s="2" t="s">
        <v>1576</v>
      </c>
      <c r="B1060" s="2" t="s">
        <v>1571</v>
      </c>
      <c r="C1060" s="2" t="s">
        <v>1572</v>
      </c>
      <c r="D1060" s="2" t="s">
        <v>8</v>
      </c>
      <c r="E1060" s="2" t="s">
        <v>1574</v>
      </c>
      <c r="F1060" s="2">
        <v>1002</v>
      </c>
      <c r="G1060" s="2" t="s">
        <v>34</v>
      </c>
      <c r="H1060" s="2" t="s">
        <v>1573</v>
      </c>
      <c r="I1060" s="2" t="s">
        <v>1575</v>
      </c>
      <c r="J1060" s="2" t="s">
        <v>2896</v>
      </c>
      <c r="K1060" s="2" t="s">
        <v>12</v>
      </c>
      <c r="L1060" s="2" t="s">
        <v>3176</v>
      </c>
      <c r="M1060" s="2" t="s">
        <v>39</v>
      </c>
      <c r="N1060" s="2" t="s">
        <v>40</v>
      </c>
      <c r="O1060" s="2" t="str">
        <f>_xlfn.IFNA(+VLOOKUP(Maestro_Clientes[[#This Row],[Zona]],Tabla1[[#All],[Cruce Reportes]:[ENTREGA ]],2,0),Maestro_Clientes[[#This Row],[Zona]])</f>
        <v>Expreso</v>
      </c>
      <c r="P1060" s="2" t="str">
        <f>+VLOOKUP(Maestro_Clientes[[#This Row],[Entrega]],Preparacion!A:B,2,0)</f>
        <v>Expreso</v>
      </c>
      <c r="Q1060"/>
    </row>
    <row r="1061" spans="1:17" x14ac:dyDescent="0.25">
      <c r="A1061" s="2" t="s">
        <v>849</v>
      </c>
      <c r="B1061" s="2" t="s">
        <v>845</v>
      </c>
      <c r="C1061" s="2" t="s">
        <v>846</v>
      </c>
      <c r="D1061" s="2" t="s">
        <v>8</v>
      </c>
      <c r="E1061" s="2" t="s">
        <v>848</v>
      </c>
      <c r="F1061" s="2">
        <v>1001</v>
      </c>
      <c r="G1061" s="2" t="s">
        <v>9</v>
      </c>
      <c r="H1061" s="2" t="s">
        <v>847</v>
      </c>
      <c r="I1061" s="2" t="s">
        <v>847</v>
      </c>
      <c r="J1061" s="2" t="s">
        <v>2818</v>
      </c>
      <c r="K1061" s="2" t="s">
        <v>12</v>
      </c>
      <c r="L1061" s="2" t="s">
        <v>847</v>
      </c>
      <c r="M1061" s="2" t="s">
        <v>14</v>
      </c>
      <c r="N1061" s="2" t="s">
        <v>15</v>
      </c>
      <c r="O1061" s="2" t="s">
        <v>3158</v>
      </c>
      <c r="P1061" s="2" t="str">
        <f>+VLOOKUP(Maestro_Clientes[[#This Row],[Entrega]],Preparacion!A:B,2,0)</f>
        <v>MIERCOLES</v>
      </c>
      <c r="Q1061"/>
    </row>
    <row r="1062" spans="1:17" customFormat="1" x14ac:dyDescent="0.25">
      <c r="A1062" s="2" t="s">
        <v>2038</v>
      </c>
      <c r="B1062" s="2" t="s">
        <v>2035</v>
      </c>
      <c r="C1062" s="2" t="s">
        <v>2036</v>
      </c>
      <c r="D1062" s="2" t="s">
        <v>8</v>
      </c>
      <c r="E1062" s="2" t="s">
        <v>2037</v>
      </c>
      <c r="F1062" s="2">
        <v>1014</v>
      </c>
      <c r="G1062" s="2" t="s">
        <v>59</v>
      </c>
      <c r="H1062" s="2" t="s">
        <v>386</v>
      </c>
      <c r="I1062" s="2" t="s">
        <v>12</v>
      </c>
      <c r="J1062" s="2" t="s">
        <v>2762</v>
      </c>
      <c r="K1062" s="2" t="s">
        <v>12</v>
      </c>
      <c r="L1062" s="2" t="s">
        <v>1725</v>
      </c>
      <c r="M1062" s="2" t="s">
        <v>2706</v>
      </c>
      <c r="N1062" s="2" t="s">
        <v>66</v>
      </c>
      <c r="O1062" s="2" t="str">
        <f>_xlfn.IFNA(+VLOOKUP(Maestro_Clientes[[#This Row],[Zona]],Tabla1[[#All],[Cruce Reportes]:[ENTREGA ]],2,0),Maestro_Clientes[[#This Row],[Zona]])</f>
        <v>LUNES</v>
      </c>
      <c r="P1062" s="2" t="str">
        <f>+VLOOKUP(Maestro_Clientes[[#This Row],[Entrega]],Preparacion!A:B,2,0)</f>
        <v>JUEVES</v>
      </c>
      <c r="Q1062" s="2"/>
    </row>
    <row r="1063" spans="1:17" customFormat="1" x14ac:dyDescent="0.25">
      <c r="A1063" s="2" t="s">
        <v>5221</v>
      </c>
      <c r="B1063" s="2" t="s">
        <v>5219</v>
      </c>
      <c r="C1063" s="2" t="s">
        <v>5220</v>
      </c>
      <c r="D1063" s="2" t="s">
        <v>8</v>
      </c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 t="s">
        <v>3009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687</v>
      </c>
      <c r="B1064" s="2" t="s">
        <v>683</v>
      </c>
      <c r="C1064" s="2" t="s">
        <v>684</v>
      </c>
      <c r="D1064" s="2" t="s">
        <v>8</v>
      </c>
      <c r="E1064" s="2" t="s">
        <v>685</v>
      </c>
      <c r="F1064" s="2">
        <v>1014</v>
      </c>
      <c r="G1064" s="2" t="s">
        <v>59</v>
      </c>
      <c r="H1064" s="2" t="s">
        <v>669</v>
      </c>
      <c r="I1064" s="2" t="s">
        <v>686</v>
      </c>
      <c r="J1064" s="2" t="s">
        <v>2733</v>
      </c>
      <c r="K1064" s="2" t="s">
        <v>12</v>
      </c>
      <c r="L1064" s="2" t="s">
        <v>3176</v>
      </c>
      <c r="M1064" s="2" t="s">
        <v>2706</v>
      </c>
      <c r="N1064" s="2" t="s">
        <v>66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4914</v>
      </c>
      <c r="B1065" s="2" t="s">
        <v>683</v>
      </c>
      <c r="C1065" s="2" t="s">
        <v>684</v>
      </c>
      <c r="D1065" s="2" t="s">
        <v>8</v>
      </c>
      <c r="E1065" s="2" t="s">
        <v>4915</v>
      </c>
      <c r="F1065" s="2">
        <v>1025</v>
      </c>
      <c r="G1065" s="2" t="s">
        <v>113</v>
      </c>
      <c r="H1065" s="2" t="s">
        <v>4916</v>
      </c>
      <c r="I1065" s="2" t="s">
        <v>4916</v>
      </c>
      <c r="J1065" s="2" t="s">
        <v>4917</v>
      </c>
      <c r="K1065" s="2" t="s">
        <v>12</v>
      </c>
      <c r="L1065" s="2" t="s">
        <v>3009</v>
      </c>
      <c r="M1065" s="2" t="s">
        <v>118</v>
      </c>
      <c r="N1065" s="2" t="s">
        <v>119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4896</v>
      </c>
      <c r="B1066" s="2" t="s">
        <v>4897</v>
      </c>
      <c r="C1066" s="2" t="s">
        <v>4898</v>
      </c>
      <c r="D1066" s="2" t="s">
        <v>8</v>
      </c>
      <c r="E1066" s="2" t="s">
        <v>4899</v>
      </c>
      <c r="F1066" s="2">
        <v>1014</v>
      </c>
      <c r="G1066" s="2" t="s">
        <v>59</v>
      </c>
      <c r="H1066" s="2" t="s">
        <v>4900</v>
      </c>
      <c r="I1066" s="2" t="s">
        <v>274</v>
      </c>
      <c r="J1066" s="2" t="s">
        <v>2745</v>
      </c>
      <c r="K1066" s="2" t="s">
        <v>12</v>
      </c>
      <c r="L1066" s="2" t="s">
        <v>3009</v>
      </c>
      <c r="M1066" s="2" t="s">
        <v>2706</v>
      </c>
      <c r="N1066" s="2" t="s">
        <v>66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4904</v>
      </c>
      <c r="B1067" s="2" t="s">
        <v>4905</v>
      </c>
      <c r="C1067" s="2" t="s">
        <v>4906</v>
      </c>
      <c r="D1067" s="2" t="s">
        <v>8</v>
      </c>
      <c r="E1067" s="2" t="s">
        <v>4907</v>
      </c>
      <c r="F1067" s="2">
        <v>1001</v>
      </c>
      <c r="G1067" s="2" t="s">
        <v>9</v>
      </c>
      <c r="H1067" s="2" t="s">
        <v>229</v>
      </c>
      <c r="I1067" s="2" t="s">
        <v>4267</v>
      </c>
      <c r="J1067" s="2" t="s">
        <v>4908</v>
      </c>
      <c r="K1067" s="2" t="s">
        <v>126</v>
      </c>
      <c r="L1067" s="2" t="s">
        <v>3009</v>
      </c>
      <c r="M1067" s="2" t="s">
        <v>14</v>
      </c>
      <c r="N1067" s="2" t="s">
        <v>15</v>
      </c>
      <c r="O1067" s="2" t="str">
        <f>_xlfn.IFNA(+VLOOKUP(Maestro_Clientes[[#This Row],[Zona]],Tabla1[[#All],[Cruce Reportes]:[ENTREGA ]],2,0),Maestro_Clientes[[#This Row],[Zona]])</f>
        <v>EXPRESO</v>
      </c>
      <c r="P1067" s="2" t="str">
        <f>+VLOOKUP(Maestro_Clientes[[#This Row],[Entrega]],Preparacion!A:B,2,0)</f>
        <v>Expreso</v>
      </c>
    </row>
    <row r="1068" spans="1:17" customFormat="1" x14ac:dyDescent="0.25">
      <c r="A1068" s="2" t="s">
        <v>1614</v>
      </c>
      <c r="B1068" s="2" t="s">
        <v>1611</v>
      </c>
      <c r="C1068" s="2" t="s">
        <v>1612</v>
      </c>
      <c r="D1068" s="2" t="s">
        <v>8</v>
      </c>
      <c r="E1068" s="2" t="s">
        <v>1613</v>
      </c>
      <c r="F1068" s="2">
        <v>1028</v>
      </c>
      <c r="G1068" s="2" t="s">
        <v>81</v>
      </c>
      <c r="H1068" s="2" t="s">
        <v>428</v>
      </c>
      <c r="I1068" s="2" t="s">
        <v>62</v>
      </c>
      <c r="J1068" s="2" t="s">
        <v>2900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1664</v>
      </c>
      <c r="B1069" s="2" t="s">
        <v>1661</v>
      </c>
      <c r="C1069" s="2" t="s">
        <v>1662</v>
      </c>
      <c r="D1069" s="2" t="s">
        <v>8</v>
      </c>
      <c r="E1069" s="2" t="s">
        <v>1663</v>
      </c>
      <c r="F1069" s="2">
        <v>1028</v>
      </c>
      <c r="G1069" s="2" t="s">
        <v>81</v>
      </c>
      <c r="H1069" s="2" t="s">
        <v>428</v>
      </c>
      <c r="I1069" s="2" t="s">
        <v>63</v>
      </c>
      <c r="J1069" s="2" t="s">
        <v>2719</v>
      </c>
      <c r="K1069" s="2" t="s">
        <v>63</v>
      </c>
      <c r="L1069" s="2" t="s">
        <v>3011</v>
      </c>
      <c r="M1069" s="2" t="s">
        <v>87</v>
      </c>
      <c r="N1069" s="2" t="s">
        <v>88</v>
      </c>
      <c r="O1069" s="2" t="str">
        <f>_xlfn.IFNA(+VLOOKUP(Maestro_Clientes[[#This Row],[Zona]],Tabla1[[#All],[Cruce Reportes]:[ENTREGA ]],2,0),Maestro_Clientes[[#This Row],[Zona]])</f>
        <v>DIARIA</v>
      </c>
      <c r="P1069" s="2" t="str">
        <f>+VLOOKUP(Maestro_Clientes[[#This Row],[Entrega]],Preparacion!A:B,2,0)</f>
        <v>DIARIA</v>
      </c>
    </row>
    <row r="1070" spans="1:17" customFormat="1" x14ac:dyDescent="0.25">
      <c r="A1070" s="2" t="s">
        <v>2206</v>
      </c>
      <c r="B1070" s="2" t="s">
        <v>2202</v>
      </c>
      <c r="C1070" s="2" t="s">
        <v>2203</v>
      </c>
      <c r="D1070" s="2" t="s">
        <v>8</v>
      </c>
      <c r="E1070" s="2" t="s">
        <v>2205</v>
      </c>
      <c r="F1070" s="2">
        <v>1034</v>
      </c>
      <c r="G1070" s="2" t="s">
        <v>158</v>
      </c>
      <c r="H1070" s="2" t="s">
        <v>2204</v>
      </c>
      <c r="I1070" s="2" t="s">
        <v>175</v>
      </c>
      <c r="J1070" s="2" t="s">
        <v>2958</v>
      </c>
      <c r="K1070" s="2" t="s">
        <v>147</v>
      </c>
      <c r="L1070" s="2" t="s">
        <v>3176</v>
      </c>
      <c r="M1070" s="2" t="s">
        <v>2706</v>
      </c>
      <c r="N1070" s="2" t="s">
        <v>163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1940</v>
      </c>
      <c r="B1071" s="2" t="s">
        <v>1937</v>
      </c>
      <c r="C1071" s="2" t="s">
        <v>1938</v>
      </c>
      <c r="D1071" s="2" t="s">
        <v>8</v>
      </c>
      <c r="E1071" s="2" t="s">
        <v>1939</v>
      </c>
      <c r="F1071" s="2">
        <v>1002</v>
      </c>
      <c r="G1071" s="2" t="s">
        <v>34</v>
      </c>
      <c r="H1071" s="2" t="s">
        <v>1533</v>
      </c>
      <c r="I1071" s="2" t="s">
        <v>1581</v>
      </c>
      <c r="J1071" s="2" t="s">
        <v>2897</v>
      </c>
      <c r="K1071" s="2" t="s">
        <v>186</v>
      </c>
      <c r="L1071" s="2" t="s">
        <v>3176</v>
      </c>
      <c r="M1071" s="2" t="s">
        <v>39</v>
      </c>
      <c r="N1071" s="2" t="s">
        <v>40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4909</v>
      </c>
      <c r="B1072" s="2" t="s">
        <v>4910</v>
      </c>
      <c r="C1072" s="2" t="s">
        <v>4911</v>
      </c>
      <c r="D1072" s="2" t="s">
        <v>8</v>
      </c>
      <c r="E1072" s="2" t="s">
        <v>4912</v>
      </c>
      <c r="F1072" s="2">
        <v>1034</v>
      </c>
      <c r="G1072" s="2" t="s">
        <v>158</v>
      </c>
      <c r="H1072" s="2" t="s">
        <v>4913</v>
      </c>
      <c r="I1072" s="2" t="s">
        <v>1384</v>
      </c>
      <c r="J1072" s="2" t="s">
        <v>2878</v>
      </c>
      <c r="K1072" s="2" t="s">
        <v>12</v>
      </c>
      <c r="L1072" s="2" t="s">
        <v>3009</v>
      </c>
      <c r="M1072" s="2" t="s">
        <v>2706</v>
      </c>
      <c r="N1072" s="2" t="s">
        <v>163</v>
      </c>
      <c r="O1072" s="2" t="str">
        <f>_xlfn.IFNA(+VLOOKUP(Maestro_Clientes[[#This Row],[Zona]],Tabla1[[#All],[Cruce Reportes]:[ENTREGA ]],2,0),Maestro_Clientes[[#This Row],[Zona]])</f>
        <v>EXPRESO</v>
      </c>
      <c r="P1072" s="2" t="str">
        <f>+VLOOKUP(Maestro_Clientes[[#This Row],[Entrega]],Preparacion!A:B,2,0)</f>
        <v>Expreso</v>
      </c>
    </row>
    <row r="1073" spans="1:16" customFormat="1" x14ac:dyDescent="0.25">
      <c r="A1073" s="2" t="s">
        <v>4003</v>
      </c>
      <c r="B1073" s="2" t="s">
        <v>4004</v>
      </c>
      <c r="C1073" s="2" t="s">
        <v>4005</v>
      </c>
      <c r="D1073" s="2" t="s">
        <v>8</v>
      </c>
      <c r="E1073" s="2" t="s">
        <v>4006</v>
      </c>
      <c r="F1073" s="2">
        <v>1001</v>
      </c>
      <c r="G1073" s="2" t="s">
        <v>9</v>
      </c>
      <c r="H1073" s="2" t="s">
        <v>788</v>
      </c>
      <c r="I1073" s="2" t="s">
        <v>788</v>
      </c>
      <c r="J1073" s="2" t="s">
        <v>4007</v>
      </c>
      <c r="K1073" s="2" t="s">
        <v>12</v>
      </c>
      <c r="L1073" s="2" t="s">
        <v>3176</v>
      </c>
      <c r="M1073" s="2" t="s">
        <v>14</v>
      </c>
      <c r="N1073" s="2" t="s">
        <v>15</v>
      </c>
      <c r="O1073" s="2" t="s">
        <v>3068</v>
      </c>
      <c r="P1073" s="2" t="str">
        <f>+VLOOKUP(Maestro_Clientes[[#This Row],[Entrega]],Preparacion!A:B,2,0)</f>
        <v>VIERNES</v>
      </c>
    </row>
    <row r="1074" spans="1:16" customFormat="1" x14ac:dyDescent="0.25">
      <c r="A1074" s="2" t="s">
        <v>760</v>
      </c>
      <c r="B1074" s="2" t="s">
        <v>755</v>
      </c>
      <c r="C1074" s="2" t="s">
        <v>756</v>
      </c>
      <c r="D1074" s="2" t="s">
        <v>8</v>
      </c>
      <c r="E1074" s="2" t="s">
        <v>758</v>
      </c>
      <c r="F1074" s="2">
        <v>1014</v>
      </c>
      <c r="G1074" s="2" t="s">
        <v>59</v>
      </c>
      <c r="H1074" s="2" t="s">
        <v>757</v>
      </c>
      <c r="I1074" s="2" t="s">
        <v>759</v>
      </c>
      <c r="J1074" s="2" t="s">
        <v>2810</v>
      </c>
      <c r="K1074" s="2" t="s">
        <v>243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2056</v>
      </c>
      <c r="B1075" s="2" t="s">
        <v>2052</v>
      </c>
      <c r="C1075" s="2" t="s">
        <v>2053</v>
      </c>
      <c r="D1075" s="2" t="s">
        <v>8</v>
      </c>
      <c r="E1075" s="2" t="s">
        <v>2054</v>
      </c>
      <c r="F1075" s="2">
        <v>1014</v>
      </c>
      <c r="G1075" s="2" t="s">
        <v>59</v>
      </c>
      <c r="H1075" s="2" t="s">
        <v>1127</v>
      </c>
      <c r="I1075" s="2" t="s">
        <v>2055</v>
      </c>
      <c r="J1075" s="2" t="s">
        <v>2942</v>
      </c>
      <c r="K1075" s="2" t="s">
        <v>1129</v>
      </c>
      <c r="L1075" s="2" t="s">
        <v>3176</v>
      </c>
      <c r="M1075" s="2" t="s">
        <v>2706</v>
      </c>
      <c r="N1075" s="2" t="s">
        <v>66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1582</v>
      </c>
      <c r="B1076" s="2" t="s">
        <v>1577</v>
      </c>
      <c r="C1076" s="2" t="s">
        <v>1578</v>
      </c>
      <c r="D1076" s="2" t="s">
        <v>8</v>
      </c>
      <c r="E1076" s="2" t="s">
        <v>1580</v>
      </c>
      <c r="F1076" s="2">
        <v>1002</v>
      </c>
      <c r="G1076" s="2" t="s">
        <v>34</v>
      </c>
      <c r="H1076" s="2" t="s">
        <v>1579</v>
      </c>
      <c r="I1076" s="2" t="s">
        <v>1581</v>
      </c>
      <c r="J1076" s="2" t="s">
        <v>2897</v>
      </c>
      <c r="K1076" s="2" t="s">
        <v>186</v>
      </c>
      <c r="L1076" s="2" t="s">
        <v>3176</v>
      </c>
      <c r="M1076" s="2" t="s">
        <v>39</v>
      </c>
      <c r="N1076" s="2" t="s">
        <v>40</v>
      </c>
      <c r="O1076" s="2" t="str">
        <f>_xlfn.IFNA(+VLOOKUP(Maestro_Clientes[[#This Row],[Zona]],Tabla1[[#All],[Cruce Reportes]:[ENTREGA ]],2,0),Maestro_Clientes[[#This Row],[Zona]])</f>
        <v>Expreso</v>
      </c>
      <c r="P1076" s="2" t="str">
        <f>+VLOOKUP(Maestro_Clientes[[#This Row],[Entrega]],Preparacion!A:B,2,0)</f>
        <v>Expreso</v>
      </c>
    </row>
    <row r="1077" spans="1:16" customFormat="1" x14ac:dyDescent="0.25">
      <c r="A1077" s="2" t="s">
        <v>1521</v>
      </c>
      <c r="B1077" s="2" t="s">
        <v>1518</v>
      </c>
      <c r="C1077" s="2" t="s">
        <v>1519</v>
      </c>
      <c r="D1077" s="2" t="s">
        <v>8</v>
      </c>
      <c r="E1077" s="2" t="s">
        <v>1520</v>
      </c>
      <c r="F1077" s="2">
        <v>1001</v>
      </c>
      <c r="G1077" s="2" t="s">
        <v>9</v>
      </c>
      <c r="H1077" s="2" t="s">
        <v>630</v>
      </c>
      <c r="I1077" s="2" t="s">
        <v>630</v>
      </c>
      <c r="J1077" s="2" t="s">
        <v>2892</v>
      </c>
      <c r="K1077" s="2" t="s">
        <v>12</v>
      </c>
      <c r="L1077" s="2" t="s">
        <v>630</v>
      </c>
      <c r="M1077" s="2" t="s">
        <v>14</v>
      </c>
      <c r="N1077" s="2" t="s">
        <v>15</v>
      </c>
      <c r="O1077" s="2" t="s">
        <v>3125</v>
      </c>
      <c r="P1077" s="2" t="str">
        <f>+VLOOKUP(Maestro_Clientes[[#This Row],[Entrega]],Preparacion!A:B,2,0)</f>
        <v>MARTES</v>
      </c>
    </row>
    <row r="1078" spans="1:16" customFormat="1" x14ac:dyDescent="0.25">
      <c r="A1078" s="2" t="s">
        <v>1885</v>
      </c>
      <c r="B1078" s="2" t="s">
        <v>1881</v>
      </c>
      <c r="C1078" s="2" t="s">
        <v>1882</v>
      </c>
      <c r="D1078" s="2" t="s">
        <v>8</v>
      </c>
      <c r="E1078" s="2" t="s">
        <v>1884</v>
      </c>
      <c r="F1078" s="2">
        <v>1002</v>
      </c>
      <c r="G1078" s="2" t="s">
        <v>34</v>
      </c>
      <c r="H1078" s="2" t="s">
        <v>1883</v>
      </c>
      <c r="I1078" s="2" t="s">
        <v>1883</v>
      </c>
      <c r="J1078" s="2" t="s">
        <v>2926</v>
      </c>
      <c r="K1078" s="2" t="s">
        <v>12</v>
      </c>
      <c r="L1078" s="2" t="s">
        <v>329</v>
      </c>
      <c r="M1078" s="2" t="s">
        <v>39</v>
      </c>
      <c r="N1078" s="2" t="s">
        <v>40</v>
      </c>
      <c r="O1078" s="2" t="str">
        <f>_xlfn.IFNA(+VLOOKUP(Maestro_Clientes[[#This Row],[Zona]],Tabla1[[#All],[Cruce Reportes]:[ENTREGA ]],2,0),Maestro_Clientes[[#This Row],[Zona]])</f>
        <v>MIERCOLES</v>
      </c>
      <c r="P1078" s="2" t="str">
        <f>+VLOOKUP(Maestro_Clientes[[#This Row],[Entrega]],Preparacion!A:B,2,0)</f>
        <v>LUNES</v>
      </c>
    </row>
    <row r="1079" spans="1:16" customFormat="1" x14ac:dyDescent="0.25">
      <c r="A1079" s="2" t="s">
        <v>5093</v>
      </c>
      <c r="B1079" s="2" t="s">
        <v>5091</v>
      </c>
      <c r="C1079" s="2" t="s">
        <v>5092</v>
      </c>
      <c r="D1079" s="2" t="s">
        <v>8</v>
      </c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 t="s">
        <v>3068</v>
      </c>
      <c r="P1079" s="2" t="str">
        <f>+VLOOKUP(Maestro_Clientes[[#This Row],[Entrega]],Preparacion!A:B,2,0)</f>
        <v>VIERNES</v>
      </c>
    </row>
    <row r="1080" spans="1:16" customFormat="1" x14ac:dyDescent="0.25">
      <c r="A1080" s="2" t="s">
        <v>210</v>
      </c>
      <c r="B1080" s="2" t="s">
        <v>205</v>
      </c>
      <c r="C1080" s="2" t="s">
        <v>206</v>
      </c>
      <c r="D1080" s="2" t="s">
        <v>8</v>
      </c>
      <c r="E1080" s="2" t="s">
        <v>208</v>
      </c>
      <c r="F1080" s="2">
        <v>1034</v>
      </c>
      <c r="G1080" s="2" t="s">
        <v>158</v>
      </c>
      <c r="H1080" s="2" t="s">
        <v>207</v>
      </c>
      <c r="I1080" s="2" t="s">
        <v>209</v>
      </c>
      <c r="J1080" s="2" t="s">
        <v>2733</v>
      </c>
      <c r="K1080" s="2" t="s">
        <v>12</v>
      </c>
      <c r="L1080" s="2" t="s">
        <v>3176</v>
      </c>
      <c r="M1080" s="2" t="s">
        <v>2706</v>
      </c>
      <c r="N1080" s="2" t="s">
        <v>163</v>
      </c>
      <c r="O1080" s="2" t="str">
        <f>_xlfn.IFNA(+VLOOKUP(Maestro_Clientes[[#This Row],[Zona]],Tabla1[[#All],[Cruce Reportes]:[ENTREGA ]],2,0),Maestro_Clientes[[#This Row],[Zona]])</f>
        <v>Expreso</v>
      </c>
      <c r="P1080" s="2" t="str">
        <f>+VLOOKUP(Maestro_Clientes[[#This Row],[Entrega]],Preparacion!A:B,2,0)</f>
        <v>Expreso</v>
      </c>
    </row>
    <row r="1081" spans="1:16" x14ac:dyDescent="0.25">
      <c r="A1081" s="2" t="s">
        <v>2034</v>
      </c>
      <c r="B1081" s="2" t="s">
        <v>2030</v>
      </c>
      <c r="C1081" s="2" t="s">
        <v>2031</v>
      </c>
      <c r="D1081" s="2" t="s">
        <v>8</v>
      </c>
      <c r="E1081" s="2" t="s">
        <v>2033</v>
      </c>
      <c r="F1081" s="2">
        <v>1002</v>
      </c>
      <c r="G1081" s="2" t="s">
        <v>34</v>
      </c>
      <c r="H1081" s="2" t="s">
        <v>2032</v>
      </c>
      <c r="I1081" s="2" t="s">
        <v>1257</v>
      </c>
      <c r="J1081" s="2" t="s">
        <v>2940</v>
      </c>
      <c r="K1081" s="2" t="s">
        <v>12</v>
      </c>
      <c r="L1081" s="2" t="s">
        <v>1257</v>
      </c>
      <c r="M1081" s="2" t="s">
        <v>39</v>
      </c>
      <c r="N1081" s="2" t="s">
        <v>40</v>
      </c>
      <c r="O1081" s="2" t="str">
        <f>_xlfn.IFNA(+VLOOKUP(Maestro_Clientes[[#This Row],[Zona]],Tabla1[[#All],[Cruce Reportes]:[ENTREGA ]],2,0),Maestro_Clientes[[#This Row],[Zona]])</f>
        <v>LUNES</v>
      </c>
      <c r="P1081" s="2" t="str">
        <f>+VLOOKUP(Maestro_Clientes[[#This Row],[Entrega]],Preparacion!A:B,2,0)</f>
        <v>JUEVES</v>
      </c>
    </row>
    <row r="1082" spans="1:16" customFormat="1" x14ac:dyDescent="0.25">
      <c r="A1082" s="2" t="s">
        <v>3485</v>
      </c>
      <c r="B1082" s="2" t="s">
        <v>3486</v>
      </c>
      <c r="C1082" s="2" t="s">
        <v>3487</v>
      </c>
      <c r="D1082" s="2" t="s">
        <v>8</v>
      </c>
      <c r="E1082" s="2" t="s">
        <v>3488</v>
      </c>
      <c r="F1082" s="2">
        <v>1034</v>
      </c>
      <c r="G1082" s="2" t="s">
        <v>158</v>
      </c>
      <c r="H1082" s="2" t="s">
        <v>3489</v>
      </c>
      <c r="I1082" s="2" t="s">
        <v>62</v>
      </c>
      <c r="J1082" s="2" t="s">
        <v>2787</v>
      </c>
      <c r="K1082" s="2" t="s">
        <v>63</v>
      </c>
      <c r="L1082" s="2" t="s">
        <v>3011</v>
      </c>
      <c r="M1082" s="2" t="s">
        <v>2706</v>
      </c>
      <c r="N1082" s="2" t="s">
        <v>163</v>
      </c>
      <c r="O1082" s="2" t="str">
        <f>_xlfn.IFNA(+VLOOKUP(Maestro_Clientes[[#This Row],[Zona]],Tabla1[[#All],[Cruce Reportes]:[ENTREGA ]],2,0),Maestro_Clientes[[#This Row],[Zona]])</f>
        <v>DIARIA</v>
      </c>
      <c r="P1082" s="2" t="str">
        <f>+VLOOKUP(Maestro_Clientes[[#This Row],[Entrega]],Preparacion!A:B,2,0)</f>
        <v>DIARIA</v>
      </c>
    </row>
    <row r="1083" spans="1:16" customFormat="1" x14ac:dyDescent="0.25">
      <c r="A1083" s="2" t="s">
        <v>3955</v>
      </c>
      <c r="B1083" s="2" t="s">
        <v>2010</v>
      </c>
      <c r="C1083" s="2" t="s">
        <v>2011</v>
      </c>
      <c r="D1083" s="2" t="s">
        <v>8</v>
      </c>
      <c r="E1083" s="2" t="s">
        <v>3956</v>
      </c>
      <c r="F1083" s="2">
        <v>1018</v>
      </c>
      <c r="G1083" s="2" t="s">
        <v>1886</v>
      </c>
      <c r="H1083" s="2" t="s">
        <v>3957</v>
      </c>
      <c r="I1083" s="2" t="s">
        <v>3958</v>
      </c>
      <c r="J1083" s="2" t="s">
        <v>3959</v>
      </c>
      <c r="K1083" s="2" t="s">
        <v>186</v>
      </c>
      <c r="L1083" s="2" t="s">
        <v>3176</v>
      </c>
      <c r="M1083" s="2" t="s">
        <v>1887</v>
      </c>
      <c r="N1083" s="2" t="s">
        <v>1888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2113</v>
      </c>
      <c r="B1084" s="2" t="s">
        <v>2109</v>
      </c>
      <c r="C1084" s="2" t="s">
        <v>2110</v>
      </c>
      <c r="D1084" s="2" t="s">
        <v>8</v>
      </c>
      <c r="E1084" s="2" t="s">
        <v>2111</v>
      </c>
      <c r="F1084" s="2">
        <v>1025</v>
      </c>
      <c r="G1084" s="2" t="s">
        <v>113</v>
      </c>
      <c r="H1084" s="2" t="s">
        <v>1127</v>
      </c>
      <c r="I1084" s="2" t="s">
        <v>2112</v>
      </c>
      <c r="J1084" s="2" t="s">
        <v>2849</v>
      </c>
      <c r="K1084" s="2" t="s">
        <v>1129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3632</v>
      </c>
      <c r="B1085" s="2" t="s">
        <v>3633</v>
      </c>
      <c r="C1085" s="2" t="s">
        <v>3634</v>
      </c>
      <c r="D1085" s="2" t="s">
        <v>8</v>
      </c>
      <c r="E1085" s="2" t="s">
        <v>3635</v>
      </c>
      <c r="F1085" s="2">
        <v>1025</v>
      </c>
      <c r="G1085" s="2" t="s">
        <v>113</v>
      </c>
      <c r="H1085" s="2" t="s">
        <v>301</v>
      </c>
      <c r="I1085" s="2" t="s">
        <v>3636</v>
      </c>
      <c r="J1085" s="2" t="s">
        <v>3637</v>
      </c>
      <c r="K1085" s="2" t="s">
        <v>281</v>
      </c>
      <c r="L1085" s="2" t="s">
        <v>3176</v>
      </c>
      <c r="M1085" s="2" t="s">
        <v>118</v>
      </c>
      <c r="N1085" s="2" t="s">
        <v>119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304</v>
      </c>
      <c r="B1086" s="2" t="s">
        <v>299</v>
      </c>
      <c r="C1086" s="2" t="s">
        <v>300</v>
      </c>
      <c r="D1086" s="2" t="s">
        <v>8</v>
      </c>
      <c r="E1086" s="2" t="s">
        <v>302</v>
      </c>
      <c r="F1086" s="2">
        <v>1014</v>
      </c>
      <c r="G1086" s="2" t="s">
        <v>59</v>
      </c>
      <c r="H1086" s="2" t="s">
        <v>301</v>
      </c>
      <c r="I1086" s="2" t="s">
        <v>303</v>
      </c>
      <c r="J1086" s="2" t="s">
        <v>2748</v>
      </c>
      <c r="K1086" s="2" t="s">
        <v>281</v>
      </c>
      <c r="L1086" s="2" t="s">
        <v>3176</v>
      </c>
      <c r="M1086" s="2" t="s">
        <v>2706</v>
      </c>
      <c r="N1086" s="2" t="s">
        <v>66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216</v>
      </c>
      <c r="B1087" s="2" t="s">
        <v>211</v>
      </c>
      <c r="C1087" s="2" t="s">
        <v>212</v>
      </c>
      <c r="D1087" s="2" t="s">
        <v>8</v>
      </c>
      <c r="E1087" s="2" t="s">
        <v>214</v>
      </c>
      <c r="F1087" s="2">
        <v>1028</v>
      </c>
      <c r="G1087" s="2" t="s">
        <v>81</v>
      </c>
      <c r="H1087" s="2" t="s">
        <v>213</v>
      </c>
      <c r="I1087" s="2" t="s">
        <v>215</v>
      </c>
      <c r="J1087" s="2" t="s">
        <v>2734</v>
      </c>
      <c r="K1087" s="2" t="s">
        <v>147</v>
      </c>
      <c r="L1087" s="2" t="s">
        <v>3176</v>
      </c>
      <c r="M1087" s="2" t="s">
        <v>87</v>
      </c>
      <c r="N1087" s="2" t="s">
        <v>88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2259</v>
      </c>
      <c r="B1088" s="2" t="s">
        <v>2255</v>
      </c>
      <c r="C1088" s="2" t="s">
        <v>2256</v>
      </c>
      <c r="D1088" s="2" t="s">
        <v>8</v>
      </c>
      <c r="E1088" s="2" t="s">
        <v>2257</v>
      </c>
      <c r="F1088" s="2">
        <v>1025</v>
      </c>
      <c r="G1088" s="2" t="s">
        <v>113</v>
      </c>
      <c r="H1088" s="2" t="s">
        <v>301</v>
      </c>
      <c r="I1088" s="2" t="s">
        <v>2258</v>
      </c>
      <c r="J1088" s="2" t="s">
        <v>2961</v>
      </c>
      <c r="K1088" s="2" t="s">
        <v>281</v>
      </c>
      <c r="L1088" s="2" t="s">
        <v>3176</v>
      </c>
      <c r="M1088" s="2" t="s">
        <v>118</v>
      </c>
      <c r="N1088" s="2" t="s">
        <v>119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customFormat="1" x14ac:dyDescent="0.25">
      <c r="A1089" s="2" t="s">
        <v>1455</v>
      </c>
      <c r="B1089" s="2" t="s">
        <v>1450</v>
      </c>
      <c r="C1089" s="2" t="s">
        <v>1451</v>
      </c>
      <c r="D1089" s="2" t="s">
        <v>8</v>
      </c>
      <c r="E1089" s="2" t="s">
        <v>1453</v>
      </c>
      <c r="F1089" s="2">
        <v>1002</v>
      </c>
      <c r="G1089" s="2" t="s">
        <v>34</v>
      </c>
      <c r="H1089" s="2" t="s">
        <v>1452</v>
      </c>
      <c r="I1089" s="2" t="s">
        <v>1454</v>
      </c>
      <c r="J1089" s="2" t="s">
        <v>2885</v>
      </c>
      <c r="K1089" s="2" t="s">
        <v>12</v>
      </c>
      <c r="L1089" s="2" t="s">
        <v>3176</v>
      </c>
      <c r="M1089" s="2" t="s">
        <v>39</v>
      </c>
      <c r="N1089" s="2" t="s">
        <v>40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</row>
    <row r="1090" spans="1:17" x14ac:dyDescent="0.25">
      <c r="A1090" s="2" t="s">
        <v>311</v>
      </c>
      <c r="B1090" s="2" t="s">
        <v>305</v>
      </c>
      <c r="C1090" s="2" t="s">
        <v>306</v>
      </c>
      <c r="D1090" s="2" t="s">
        <v>8</v>
      </c>
      <c r="E1090" s="2" t="s">
        <v>308</v>
      </c>
      <c r="F1090" s="2">
        <v>1014</v>
      </c>
      <c r="G1090" s="2" t="s">
        <v>59</v>
      </c>
      <c r="H1090" s="2" t="s">
        <v>307</v>
      </c>
      <c r="I1090" s="2" t="s">
        <v>309</v>
      </c>
      <c r="J1090" s="2" t="s">
        <v>2749</v>
      </c>
      <c r="K1090" s="2" t="s">
        <v>310</v>
      </c>
      <c r="L1090" s="2" t="s">
        <v>3176</v>
      </c>
      <c r="M1090" s="2" t="s">
        <v>2706</v>
      </c>
      <c r="N1090" s="2" t="s">
        <v>66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  <c r="Q1090"/>
    </row>
    <row r="1091" spans="1:17" customFormat="1" x14ac:dyDescent="0.25">
      <c r="A1091" s="2" t="s">
        <v>1655</v>
      </c>
      <c r="B1091" s="2" t="s">
        <v>1652</v>
      </c>
      <c r="C1091" s="2" t="s">
        <v>1653</v>
      </c>
      <c r="D1091" s="2" t="s">
        <v>8</v>
      </c>
      <c r="E1091" s="2" t="s">
        <v>1654</v>
      </c>
      <c r="F1091" s="2">
        <v>1002</v>
      </c>
      <c r="G1091" s="2" t="s">
        <v>34</v>
      </c>
      <c r="H1091" s="2" t="s">
        <v>1358</v>
      </c>
      <c r="I1091" s="2" t="s">
        <v>1358</v>
      </c>
      <c r="J1091" s="2" t="s">
        <v>2874</v>
      </c>
      <c r="K1091" s="2" t="s">
        <v>12</v>
      </c>
      <c r="L1091" s="2" t="s">
        <v>3176</v>
      </c>
      <c r="M1091" s="2" t="s">
        <v>39</v>
      </c>
      <c r="N1091" s="2" t="s">
        <v>40</v>
      </c>
      <c r="O1091" s="2" t="str">
        <f>_xlfn.IFNA(+VLOOKUP(Maestro_Clientes[[#This Row],[Zona]],Tabla1[[#All],[Cruce Reportes]:[ENTREGA ]],2,0),Maestro_Clientes[[#This Row],[Zona]])</f>
        <v>Expreso</v>
      </c>
      <c r="P1091" s="2" t="str">
        <f>+VLOOKUP(Maestro_Clientes[[#This Row],[Entrega]],Preparacion!A:B,2,0)</f>
        <v>Expreso</v>
      </c>
    </row>
    <row r="1092" spans="1:17" customFormat="1" x14ac:dyDescent="0.25">
      <c r="A1092" s="2" t="s">
        <v>411</v>
      </c>
      <c r="B1092" s="2" t="s">
        <v>407</v>
      </c>
      <c r="C1092" s="2" t="s">
        <v>408</v>
      </c>
      <c r="D1092" s="2" t="s">
        <v>8</v>
      </c>
      <c r="E1092" s="2" t="s">
        <v>410</v>
      </c>
      <c r="F1092" s="2">
        <v>1034</v>
      </c>
      <c r="G1092" s="2" t="s">
        <v>158</v>
      </c>
      <c r="H1092" s="2" t="s">
        <v>409</v>
      </c>
      <c r="I1092" s="2" t="s">
        <v>62</v>
      </c>
      <c r="J1092" s="2" t="s">
        <v>2766</v>
      </c>
      <c r="K1092" s="2" t="s">
        <v>63</v>
      </c>
      <c r="L1092" s="2" t="s">
        <v>3011</v>
      </c>
      <c r="M1092" s="2" t="s">
        <v>2706</v>
      </c>
      <c r="N1092" s="2" t="s">
        <v>163</v>
      </c>
      <c r="O1092" s="2" t="str">
        <f>_xlfn.IFNA(+VLOOKUP(Maestro_Clientes[[#This Row],[Zona]],Tabla1[[#All],[Cruce Reportes]:[ENTREGA ]],2,0),Maestro_Clientes[[#This Row],[Zona]])</f>
        <v>DIARIA</v>
      </c>
      <c r="P1092" s="2" t="str">
        <f>+VLOOKUP(Maestro_Clientes[[#This Row],[Entrega]],Preparacion!A:B,2,0)</f>
        <v>DIARIA</v>
      </c>
    </row>
    <row r="1093" spans="1:17" customFormat="1" x14ac:dyDescent="0.25">
      <c r="A1093" s="2" t="s">
        <v>316</v>
      </c>
      <c r="B1093" s="2" t="s">
        <v>312</v>
      </c>
      <c r="C1093" s="2" t="s">
        <v>313</v>
      </c>
      <c r="D1093" s="2" t="s">
        <v>8</v>
      </c>
      <c r="E1093" s="2" t="s">
        <v>314</v>
      </c>
      <c r="F1093" s="2">
        <v>1014</v>
      </c>
      <c r="G1093" s="2" t="s">
        <v>59</v>
      </c>
      <c r="H1093" s="2" t="s">
        <v>179</v>
      </c>
      <c r="I1093" s="2" t="s">
        <v>315</v>
      </c>
      <c r="J1093" s="2" t="s">
        <v>2750</v>
      </c>
      <c r="K1093" s="2" t="s">
        <v>140</v>
      </c>
      <c r="L1093" s="2" t="s">
        <v>3176</v>
      </c>
      <c r="M1093" s="2" t="s">
        <v>2706</v>
      </c>
      <c r="N1093" s="2" t="s">
        <v>66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customFormat="1" x14ac:dyDescent="0.25">
      <c r="A1094" s="2" t="s">
        <v>4918</v>
      </c>
      <c r="B1094" s="2" t="s">
        <v>4919</v>
      </c>
      <c r="C1094" s="2" t="s">
        <v>4920</v>
      </c>
      <c r="D1094" s="2" t="s">
        <v>8</v>
      </c>
      <c r="E1094" s="2" t="s">
        <v>4921</v>
      </c>
      <c r="F1094" s="2">
        <v>1025</v>
      </c>
      <c r="G1094" s="2" t="s">
        <v>113</v>
      </c>
      <c r="H1094" s="2" t="s">
        <v>763</v>
      </c>
      <c r="I1094" s="2" t="s">
        <v>765</v>
      </c>
      <c r="J1094" s="2" t="s">
        <v>2733</v>
      </c>
      <c r="K1094" s="2" t="s">
        <v>12</v>
      </c>
      <c r="L1094" s="2" t="s">
        <v>3009</v>
      </c>
      <c r="M1094" s="2" t="s">
        <v>118</v>
      </c>
      <c r="N1094" s="2" t="s">
        <v>119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</row>
    <row r="1095" spans="1:17" x14ac:dyDescent="0.25">
      <c r="A1095" s="2" t="s">
        <v>1944</v>
      </c>
      <c r="B1095" s="2" t="s">
        <v>1941</v>
      </c>
      <c r="C1095" s="2" t="s">
        <v>1942</v>
      </c>
      <c r="D1095" s="2" t="s">
        <v>8</v>
      </c>
      <c r="E1095" s="2" t="s">
        <v>1943</v>
      </c>
      <c r="F1095" s="2">
        <v>1034</v>
      </c>
      <c r="G1095" s="2" t="s">
        <v>158</v>
      </c>
      <c r="H1095" s="2" t="s">
        <v>1358</v>
      </c>
      <c r="I1095" s="2" t="s">
        <v>1358</v>
      </c>
      <c r="J1095" s="2" t="s">
        <v>2874</v>
      </c>
      <c r="K1095" s="2" t="s">
        <v>12</v>
      </c>
      <c r="L1095" s="2" t="s">
        <v>3176</v>
      </c>
      <c r="M1095" s="2" t="s">
        <v>2706</v>
      </c>
      <c r="N1095" s="2" t="s">
        <v>163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  <c r="Q1095"/>
    </row>
    <row r="1096" spans="1:17" customFormat="1" x14ac:dyDescent="0.25">
      <c r="A1096" s="2" t="s">
        <v>441</v>
      </c>
      <c r="B1096" s="2" t="s">
        <v>435</v>
      </c>
      <c r="C1096" s="2" t="s">
        <v>436</v>
      </c>
      <c r="D1096" s="2" t="s">
        <v>8</v>
      </c>
      <c r="E1096" s="2" t="s">
        <v>438</v>
      </c>
      <c r="F1096" s="2">
        <v>1002</v>
      </c>
      <c r="G1096" s="2" t="s">
        <v>34</v>
      </c>
      <c r="H1096" s="2" t="s">
        <v>437</v>
      </c>
      <c r="I1096" s="2" t="s">
        <v>439</v>
      </c>
      <c r="J1096" s="2" t="s">
        <v>2768</v>
      </c>
      <c r="K1096" s="2" t="s">
        <v>440</v>
      </c>
      <c r="L1096" s="2" t="s">
        <v>3176</v>
      </c>
      <c r="M1096" s="2" t="s">
        <v>39</v>
      </c>
      <c r="N1096" s="2" t="s">
        <v>40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</row>
    <row r="1097" spans="1:17" x14ac:dyDescent="0.25">
      <c r="A1097" s="2" t="s">
        <v>3960</v>
      </c>
      <c r="B1097" s="2" t="s">
        <v>3961</v>
      </c>
      <c r="C1097" s="2" t="s">
        <v>3962</v>
      </c>
      <c r="D1097" s="2" t="s">
        <v>8</v>
      </c>
      <c r="E1097" s="2" t="s">
        <v>3963</v>
      </c>
      <c r="F1097" s="2">
        <v>1025</v>
      </c>
      <c r="G1097" s="2" t="s">
        <v>113</v>
      </c>
      <c r="H1097" s="2" t="s">
        <v>184</v>
      </c>
      <c r="I1097" s="2" t="s">
        <v>3964</v>
      </c>
      <c r="J1097" s="2" t="s">
        <v>3965</v>
      </c>
      <c r="K1097" s="2" t="s">
        <v>186</v>
      </c>
      <c r="L1097" s="2" t="s">
        <v>3176</v>
      </c>
      <c r="M1097" s="2" t="s">
        <v>118</v>
      </c>
      <c r="N1097" s="2" t="s">
        <v>119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3383</v>
      </c>
      <c r="B1098" s="2" t="s">
        <v>3384</v>
      </c>
      <c r="C1098" s="2" t="s">
        <v>3385</v>
      </c>
      <c r="D1098" s="2" t="s">
        <v>8</v>
      </c>
      <c r="E1098" s="2" t="s">
        <v>3386</v>
      </c>
      <c r="F1098" s="2">
        <v>1028</v>
      </c>
      <c r="G1098" s="2" t="s">
        <v>81</v>
      </c>
      <c r="H1098" s="2" t="s">
        <v>3387</v>
      </c>
      <c r="I1098" s="2" t="s">
        <v>3387</v>
      </c>
      <c r="J1098" s="2" t="s">
        <v>3388</v>
      </c>
      <c r="K1098" s="2" t="s">
        <v>12</v>
      </c>
      <c r="L1098" s="2" t="s">
        <v>3176</v>
      </c>
      <c r="M1098" s="2" t="s">
        <v>87</v>
      </c>
      <c r="N1098" s="2" t="s">
        <v>88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2289</v>
      </c>
      <c r="B1099" s="2" t="s">
        <v>2285</v>
      </c>
      <c r="C1099" s="2" t="s">
        <v>2286</v>
      </c>
      <c r="D1099" s="2" t="s">
        <v>8</v>
      </c>
      <c r="E1099" s="2" t="s">
        <v>2288</v>
      </c>
      <c r="F1099" s="2">
        <v>1014</v>
      </c>
      <c r="G1099" s="2" t="s">
        <v>59</v>
      </c>
      <c r="H1099" s="2" t="s">
        <v>2287</v>
      </c>
      <c r="I1099" s="2" t="s">
        <v>752</v>
      </c>
      <c r="J1099" s="2" t="s">
        <v>2809</v>
      </c>
      <c r="K1099" s="2" t="s">
        <v>753</v>
      </c>
      <c r="L1099" s="2" t="s">
        <v>3176</v>
      </c>
      <c r="M1099" s="2" t="s">
        <v>2706</v>
      </c>
      <c r="N1099" s="2" t="s">
        <v>66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4147</v>
      </c>
      <c r="B1100" s="2" t="s">
        <v>4148</v>
      </c>
      <c r="C1100" s="2" t="s">
        <v>4149</v>
      </c>
      <c r="D1100" s="2" t="s">
        <v>8</v>
      </c>
      <c r="E1100" s="2" t="s">
        <v>4150</v>
      </c>
      <c r="F1100" s="2">
        <v>1025</v>
      </c>
      <c r="G1100" s="2" t="s">
        <v>113</v>
      </c>
      <c r="H1100" s="2" t="s">
        <v>4151</v>
      </c>
      <c r="I1100" s="2" t="s">
        <v>4152</v>
      </c>
      <c r="J1100" s="2" t="s">
        <v>2790</v>
      </c>
      <c r="K1100" s="2" t="s">
        <v>12</v>
      </c>
      <c r="L1100" s="2" t="s">
        <v>3176</v>
      </c>
      <c r="M1100" s="2" t="s">
        <v>118</v>
      </c>
      <c r="N1100" s="2" t="s">
        <v>119</v>
      </c>
      <c r="O1100" s="2" t="str">
        <f>_xlfn.IFNA(+VLOOKUP(Maestro_Clientes[[#This Row],[Zona]],Tabla1[[#All],[Cruce Reportes]:[ENTREGA ]],2,0),Maestro_Clientes[[#This Row],[Zona]])</f>
        <v>Expreso</v>
      </c>
      <c r="P1100" s="2" t="str">
        <f>+VLOOKUP(Maestro_Clientes[[#This Row],[Entrega]],Preparacion!A:B,2,0)</f>
        <v>Expreso</v>
      </c>
      <c r="Q1100"/>
    </row>
    <row r="1101" spans="1:17" x14ac:dyDescent="0.25">
      <c r="A1101" s="2" t="s">
        <v>4956</v>
      </c>
      <c r="B1101" s="2" t="s">
        <v>4936</v>
      </c>
      <c r="C1101" s="2" t="s">
        <v>4971</v>
      </c>
      <c r="D1101" s="2" t="s">
        <v>8</v>
      </c>
      <c r="O1101" s="2" t="s">
        <v>3023</v>
      </c>
      <c r="P1101" s="2" t="str">
        <f>+VLOOKUP(Maestro_Clientes[[#This Row],[Entrega]],Preparacion!A:B,2,0)</f>
        <v>JUEVES</v>
      </c>
    </row>
    <row r="1102" spans="1:17" x14ac:dyDescent="0.25">
      <c r="A1102" s="2" t="s">
        <v>2219</v>
      </c>
      <c r="B1102" s="2" t="s">
        <v>2216</v>
      </c>
      <c r="C1102" s="2" t="s">
        <v>2217</v>
      </c>
      <c r="D1102" s="2" t="s">
        <v>8</v>
      </c>
      <c r="E1102" s="2" t="s">
        <v>2218</v>
      </c>
      <c r="F1102" s="2">
        <v>1001</v>
      </c>
      <c r="G1102" s="2" t="s">
        <v>9</v>
      </c>
      <c r="H1102" s="2" t="s">
        <v>329</v>
      </c>
      <c r="I1102" s="2" t="s">
        <v>329</v>
      </c>
      <c r="J1102" s="2" t="s">
        <v>2754</v>
      </c>
      <c r="K1102" s="2" t="s">
        <v>12</v>
      </c>
      <c r="L1102" s="2" t="s">
        <v>329</v>
      </c>
      <c r="M1102" s="2" t="s">
        <v>14</v>
      </c>
      <c r="N1102" s="2" t="s">
        <v>15</v>
      </c>
      <c r="O1102" s="2" t="str">
        <f>_xlfn.IFNA(+VLOOKUP(Maestro_Clientes[[#This Row],[Zona]],Tabla1[[#All],[Cruce Reportes]:[ENTREGA ]],2,0),Maestro_Clientes[[#This Row],[Zona]])</f>
        <v>MIERCOLES</v>
      </c>
      <c r="P1102" s="2" t="str">
        <f>+VLOOKUP(Maestro_Clientes[[#This Row],[Entrega]],Preparacion!A:B,2,0)</f>
        <v>LUNES</v>
      </c>
      <c r="Q1102"/>
    </row>
    <row r="1103" spans="1:17" x14ac:dyDescent="0.25">
      <c r="A1103" s="2" t="s">
        <v>5248</v>
      </c>
      <c r="B1103" s="2" t="s">
        <v>5247</v>
      </c>
      <c r="C1103" s="2" t="s">
        <v>5249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5251</v>
      </c>
      <c r="B1104" s="2" t="s">
        <v>5250</v>
      </c>
      <c r="C1104" s="2" t="s">
        <v>5252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5253</v>
      </c>
      <c r="B1105" s="2" t="s">
        <v>1017</v>
      </c>
      <c r="C1105" s="2" t="s">
        <v>5254</v>
      </c>
      <c r="D1105" s="2" t="s">
        <v>8</v>
      </c>
      <c r="O1105" s="2" t="s">
        <v>3176</v>
      </c>
      <c r="P1105" s="2" t="str">
        <f>+VLOOKUP(Maestro_Clientes[[#This Row],[Entrega]],Preparacion!A:B,2,0)</f>
        <v>Expreso</v>
      </c>
    </row>
    <row r="1106" spans="1:17" x14ac:dyDescent="0.25">
      <c r="A1106" s="2" t="s">
        <v>5257</v>
      </c>
      <c r="B1106" s="2" t="s">
        <v>5256</v>
      </c>
      <c r="C1106" s="2" t="s">
        <v>5258</v>
      </c>
      <c r="D1106" s="2" t="s">
        <v>8</v>
      </c>
      <c r="O1106" s="2" t="s">
        <v>3023</v>
      </c>
      <c r="P1106" s="2" t="str">
        <f>+VLOOKUP(Maestro_Clientes[[#This Row],[Entrega]],Preparacion!A:B,2,0)</f>
        <v>JUEVES</v>
      </c>
    </row>
    <row r="1107" spans="1:17" x14ac:dyDescent="0.25">
      <c r="A1107" s="2" t="s">
        <v>5259</v>
      </c>
      <c r="B1107" s="2" t="s">
        <v>5260</v>
      </c>
      <c r="C1107" s="2" t="s">
        <v>5261</v>
      </c>
      <c r="D1107" s="2" t="s">
        <v>8</v>
      </c>
      <c r="O1107" s="2" t="s">
        <v>3176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5262</v>
      </c>
      <c r="B1108" s="2" t="s">
        <v>2211</v>
      </c>
      <c r="C1108" s="2" t="s">
        <v>5263</v>
      </c>
      <c r="D1108" s="2" t="s">
        <v>8</v>
      </c>
      <c r="O1108" s="2" t="s">
        <v>3009</v>
      </c>
      <c r="P1108" s="2" t="str">
        <f>+VLOOKUP(Maestro_Clientes[[#This Row],[Entrega]],Preparacion!A:B,2,0)</f>
        <v>Expreso</v>
      </c>
    </row>
    <row r="1109" spans="1:17" x14ac:dyDescent="0.25">
      <c r="A1109" s="2" t="s">
        <v>5264</v>
      </c>
      <c r="B1109" s="2" t="s">
        <v>5265</v>
      </c>
      <c r="C1109" s="2" t="s">
        <v>5266</v>
      </c>
      <c r="D1109" s="2" t="s">
        <v>8</v>
      </c>
      <c r="O1109" s="2" t="s">
        <v>3068</v>
      </c>
      <c r="P1109" s="2" t="str">
        <f>+VLOOKUP(Maestro_Clientes[[#This Row],[Entrega]],Preparacion!A:B,2,0)</f>
        <v>VIERNES</v>
      </c>
    </row>
    <row r="1110" spans="1:17" x14ac:dyDescent="0.25">
      <c r="A1110" s="2" t="s">
        <v>5267</v>
      </c>
      <c r="B1110" s="2" t="s">
        <v>5268</v>
      </c>
      <c r="C1110" s="2" t="s">
        <v>5269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5270</v>
      </c>
      <c r="B1111" s="2" t="s">
        <v>5271</v>
      </c>
      <c r="C1111" s="2" t="s">
        <v>5272</v>
      </c>
      <c r="D1111" s="2" t="s">
        <v>8</v>
      </c>
      <c r="O1111" s="2" t="s">
        <v>3176</v>
      </c>
      <c r="P1111" s="2" t="str">
        <f>+VLOOKUP(Maestro_Clientes[[#This Row],[Entrega]],Preparacion!A:B,2,0)</f>
        <v>Expreso</v>
      </c>
    </row>
    <row r="1112" spans="1:17" x14ac:dyDescent="0.25">
      <c r="A1112" s="2" t="s">
        <v>5274</v>
      </c>
      <c r="B1112" s="2" t="s">
        <v>5275</v>
      </c>
      <c r="C1112" s="2" t="s">
        <v>5276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5277</v>
      </c>
      <c r="B1113" s="2" t="s">
        <v>1593</v>
      </c>
      <c r="C1113" s="2" t="s">
        <v>1594</v>
      </c>
      <c r="D1113" s="2" t="s">
        <v>8</v>
      </c>
      <c r="O1113" s="2" t="s">
        <v>3023</v>
      </c>
      <c r="P1113" s="2" t="str">
        <f>+VLOOKUP(Maestro_Clientes[[#This Row],[Entrega]],Preparacion!A:B,2,0)</f>
        <v>JUEVES</v>
      </c>
    </row>
    <row r="1114" spans="1:17" x14ac:dyDescent="0.25">
      <c r="A1114" s="2" t="s">
        <v>5281</v>
      </c>
      <c r="B1114" s="2" t="s">
        <v>5279</v>
      </c>
      <c r="C1114" s="2" t="s">
        <v>5280</v>
      </c>
      <c r="D1114" s="2" t="s">
        <v>8</v>
      </c>
      <c r="O1114" s="2" t="s">
        <v>3125</v>
      </c>
      <c r="P1114" s="2" t="str">
        <f>+VLOOKUP(Maestro_Clientes[[#This Row],[Entrega]],Preparacion!A:B,2,0)</f>
        <v>MARTES</v>
      </c>
      <c r="Q1114"/>
    </row>
    <row r="1115" spans="1:17" x14ac:dyDescent="0.25">
      <c r="A1115" s="2" t="s">
        <v>5284</v>
      </c>
      <c r="B1115" s="2" t="s">
        <v>5283</v>
      </c>
      <c r="C1115" s="2" t="s">
        <v>5285</v>
      </c>
      <c r="D1115" s="2" t="s">
        <v>8</v>
      </c>
      <c r="O1115" s="2" t="s">
        <v>3176</v>
      </c>
      <c r="P1115" s="2" t="str">
        <f>+VLOOKUP(Maestro_Clientes[[#This Row],[Entrega]],Preparacion!A:B,2,0)</f>
        <v>Expreso</v>
      </c>
    </row>
    <row r="1116" spans="1:17" x14ac:dyDescent="0.25">
      <c r="A1116" s="2" t="s">
        <v>5286</v>
      </c>
      <c r="B1116" s="2" t="s">
        <v>5175</v>
      </c>
      <c r="C1116" s="2" t="s">
        <v>5176</v>
      </c>
      <c r="D1116" s="2" t="s">
        <v>8</v>
      </c>
      <c r="O1116" s="2" t="s">
        <v>3023</v>
      </c>
      <c r="P1116" s="2" t="str">
        <f>+VLOOKUP(Maestro_Clientes[[#This Row],[Entrega]],Preparacion!A:B,2,0)</f>
        <v>JUEVES</v>
      </c>
    </row>
    <row r="1117" spans="1:17" x14ac:dyDescent="0.25">
      <c r="A1117" s="2" t="s">
        <v>5288</v>
      </c>
      <c r="B1117" s="2" t="s">
        <v>5287</v>
      </c>
      <c r="C1117" s="2" t="s">
        <v>5289</v>
      </c>
      <c r="D1117" s="2" t="s">
        <v>8</v>
      </c>
      <c r="O1117" s="2" t="s">
        <v>3116</v>
      </c>
      <c r="P1117" s="2" t="str">
        <f>+VLOOKUP(Maestro_Clientes[[#This Row],[Entrega]],Preparacion!A:B,2,0)</f>
        <v>LUNES</v>
      </c>
    </row>
    <row r="1118" spans="1:17" x14ac:dyDescent="0.25">
      <c r="A1118" s="2" t="s">
        <v>5294</v>
      </c>
      <c r="B1118" s="2" t="s">
        <v>5293</v>
      </c>
      <c r="C1118" s="2" t="s">
        <v>5295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5297</v>
      </c>
      <c r="B1119" s="2" t="s">
        <v>5296</v>
      </c>
      <c r="C1119" s="2" t="s">
        <v>5298</v>
      </c>
      <c r="D1119" s="2" t="s">
        <v>8</v>
      </c>
      <c r="O1119" s="2" t="s">
        <v>3068</v>
      </c>
      <c r="P1119" s="2" t="str">
        <f>+VLOOKUP(Maestro_Clientes[[#This Row],[Entrega]],Preparacion!A:B,2,0)</f>
        <v>VIERNES</v>
      </c>
    </row>
    <row r="1120" spans="1:17" x14ac:dyDescent="0.25">
      <c r="A1120" s="2" t="s">
        <v>5300</v>
      </c>
      <c r="B1120" s="2" t="s">
        <v>5299</v>
      </c>
      <c r="C1120" s="2" t="s">
        <v>5301</v>
      </c>
      <c r="D1120" s="2" t="s">
        <v>8</v>
      </c>
      <c r="O1120" s="2" t="s">
        <v>3176</v>
      </c>
      <c r="P1120" s="2" t="str">
        <f>+VLOOKUP(Maestro_Clientes[[#This Row],[Entrega]],Preparacion!A:B,2,0)</f>
        <v>Expreso</v>
      </c>
    </row>
    <row r="1121" spans="1:17" x14ac:dyDescent="0.25">
      <c r="A1121" s="2" t="s">
        <v>5304</v>
      </c>
      <c r="B1121" s="2" t="s">
        <v>5302</v>
      </c>
      <c r="C1121" s="2" t="s">
        <v>5303</v>
      </c>
      <c r="D1121" s="2" t="s">
        <v>8</v>
      </c>
      <c r="O1121" s="2" t="s">
        <v>3116</v>
      </c>
      <c r="P1121" s="2" t="str">
        <f>+VLOOKUP(Maestro_Clientes[[#This Row],[Entrega]],Preparacion!A:B,2,0)</f>
        <v>LUNES</v>
      </c>
    </row>
    <row r="1122" spans="1:17" x14ac:dyDescent="0.25">
      <c r="A1122" s="2" t="s">
        <v>5307</v>
      </c>
      <c r="B1122" s="2" t="s">
        <v>5305</v>
      </c>
      <c r="C1122" s="2" t="s">
        <v>5306</v>
      </c>
      <c r="D1122" s="2" t="s">
        <v>8</v>
      </c>
      <c r="O1122" s="2" t="s">
        <v>3176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5310</v>
      </c>
      <c r="B1123" s="2" t="s">
        <v>5308</v>
      </c>
      <c r="C1123" s="2" t="s">
        <v>5309</v>
      </c>
      <c r="D1123" s="2" t="s">
        <v>8</v>
      </c>
      <c r="O1123" s="2" t="s">
        <v>3009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5313</v>
      </c>
      <c r="B1124" s="2" t="s">
        <v>5311</v>
      </c>
      <c r="C1124" s="2" t="s">
        <v>5312</v>
      </c>
      <c r="D1124" s="2" t="s">
        <v>8</v>
      </c>
      <c r="O1124" s="2" t="s">
        <v>3176</v>
      </c>
      <c r="P1124" s="2" t="str">
        <f>+VLOOKUP(Maestro_Clientes[[#This Row],[Entrega]],Preparacion!A:B,2,0)</f>
        <v>Expreso</v>
      </c>
    </row>
    <row r="1125" spans="1:17" x14ac:dyDescent="0.25">
      <c r="A1125" s="2" t="s">
        <v>5316</v>
      </c>
      <c r="B1125" s="2" t="s">
        <v>5314</v>
      </c>
      <c r="C1125" s="2" t="s">
        <v>5315</v>
      </c>
      <c r="D1125" s="2" t="s">
        <v>8</v>
      </c>
      <c r="O1125" s="2" t="s">
        <v>3158</v>
      </c>
      <c r="P1125" s="2" t="str">
        <f>+VLOOKUP(Maestro_Clientes[[#This Row],[Entrega]],Preparacion!A:B,2,0)</f>
        <v>MIERCOLES</v>
      </c>
      <c r="Q1125"/>
    </row>
    <row r="1126" spans="1:17" x14ac:dyDescent="0.25">
      <c r="A1126" s="2" t="s">
        <v>5320</v>
      </c>
      <c r="B1126" s="2" t="s">
        <v>5318</v>
      </c>
      <c r="C1126" s="2" t="s">
        <v>5319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5323</v>
      </c>
      <c r="B1127" s="2" t="s">
        <v>5321</v>
      </c>
      <c r="C1127" s="2" t="s">
        <v>5322</v>
      </c>
      <c r="D1127" s="2" t="s">
        <v>8</v>
      </c>
      <c r="O1127" s="2" t="s">
        <v>3176</v>
      </c>
      <c r="P1127" s="2" t="str">
        <f>+VLOOKUP(Maestro_Clientes[[#This Row],[Entrega]],Preparacion!A:B,2,0)</f>
        <v>Expreso</v>
      </c>
    </row>
    <row r="1128" spans="1:17" x14ac:dyDescent="0.25">
      <c r="A1128" s="2" t="s">
        <v>5326</v>
      </c>
      <c r="B1128" s="2" t="s">
        <v>5324</v>
      </c>
      <c r="C1128" s="2" t="s">
        <v>5325</v>
      </c>
      <c r="D1128" s="2" t="s">
        <v>8</v>
      </c>
      <c r="O1128" s="2" t="s">
        <v>3023</v>
      </c>
      <c r="P1128" s="2" t="str">
        <f>+VLOOKUP(Maestro_Clientes[[#This Row],[Entrega]],Preparacion!A:B,2,0)</f>
        <v>JUEVES</v>
      </c>
    </row>
    <row r="1129" spans="1:17" x14ac:dyDescent="0.25">
      <c r="A1129" s="2" t="s">
        <v>5329</v>
      </c>
      <c r="B1129" s="2" t="s">
        <v>5327</v>
      </c>
      <c r="C1129" s="2" t="s">
        <v>5328</v>
      </c>
      <c r="D1129" s="2" t="s">
        <v>8</v>
      </c>
      <c r="O1129" s="2" t="s">
        <v>3176</v>
      </c>
      <c r="P1129" s="2" t="str">
        <f>+VLOOKUP(Maestro_Clientes[[#This Row],[Entrega]],Preparacion!A:B,2,0)</f>
        <v>Expreso</v>
      </c>
    </row>
    <row r="1130" spans="1:17" x14ac:dyDescent="0.25">
      <c r="A1130" s="2" t="s">
        <v>5331</v>
      </c>
      <c r="B1130" s="2" t="s">
        <v>5332</v>
      </c>
      <c r="C1130" s="2" t="s">
        <v>5330</v>
      </c>
      <c r="D1130" s="2" t="s">
        <v>8</v>
      </c>
      <c r="O1130" s="2" t="s">
        <v>3068</v>
      </c>
      <c r="P1130" s="2" t="str">
        <f>+VLOOKUP(Maestro_Clientes[[#This Row],[Entrega]],Preparacion!A:B,2,0)</f>
        <v>VIERNES</v>
      </c>
    </row>
    <row r="1131" spans="1:17" x14ac:dyDescent="0.25">
      <c r="A1131" s="2" t="s">
        <v>5341</v>
      </c>
      <c r="B1131" s="2" t="s">
        <v>5340</v>
      </c>
      <c r="C1131" s="2" t="s">
        <v>5342</v>
      </c>
      <c r="D1131" s="2" t="s">
        <v>8</v>
      </c>
      <c r="O1131" s="2" t="s">
        <v>3176</v>
      </c>
      <c r="P1131" s="2" t="str">
        <f>+VLOOKUP(Maestro_Clientes[[#This Row],[Entrega]],Preparacion!A:B,2,0)</f>
        <v>Expreso</v>
      </c>
    </row>
    <row r="1132" spans="1:17" x14ac:dyDescent="0.25">
      <c r="A1132" s="2" t="s">
        <v>5345</v>
      </c>
      <c r="B1132" s="2" t="s">
        <v>5343</v>
      </c>
      <c r="C1132" s="2" t="s">
        <v>5344</v>
      </c>
      <c r="D1132" s="2" t="s">
        <v>8</v>
      </c>
      <c r="O1132" s="2" t="s">
        <v>3023</v>
      </c>
      <c r="P1132" s="2" t="str">
        <f>+VLOOKUP(Maestro_Clientes[[#This Row],[Entrega]],Preparacion!A:B,2,0)</f>
        <v>JUEVES</v>
      </c>
    </row>
    <row r="1133" spans="1:17" x14ac:dyDescent="0.25">
      <c r="A1133" s="2" t="s">
        <v>5346</v>
      </c>
      <c r="B1133" s="2" t="s">
        <v>4144</v>
      </c>
      <c r="C1133" s="2" t="s">
        <v>4145</v>
      </c>
      <c r="D1133" s="2" t="s">
        <v>8</v>
      </c>
      <c r="O1133" s="2" t="s">
        <v>3158</v>
      </c>
      <c r="P1133" s="2" t="str">
        <f>+VLOOKUP(Maestro_Clientes[[#This Row],[Entrega]],Preparacion!A:B,2,0)</f>
        <v>MIERCOLES</v>
      </c>
      <c r="Q1133"/>
    </row>
    <row r="1134" spans="1:17" x14ac:dyDescent="0.25">
      <c r="A1134" s="2" t="s">
        <v>5349</v>
      </c>
      <c r="B1134" s="2" t="s">
        <v>5347</v>
      </c>
      <c r="C1134" s="2" t="s">
        <v>5348</v>
      </c>
      <c r="D1134" s="2" t="s">
        <v>8</v>
      </c>
      <c r="O1134" s="2" t="s">
        <v>3068</v>
      </c>
      <c r="P1134" s="2" t="str">
        <f>+VLOOKUP(Maestro_Clientes[[#This Row],[Entrega]],Preparacion!A:B,2,0)</f>
        <v>VIERNES</v>
      </c>
    </row>
    <row r="1135" spans="1:17" x14ac:dyDescent="0.25">
      <c r="A1135" s="2" t="s">
        <v>5350</v>
      </c>
      <c r="B1135" s="2" t="s">
        <v>4844</v>
      </c>
      <c r="C1135" s="2" t="s">
        <v>4845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5352</v>
      </c>
      <c r="B1136" s="2" t="s">
        <v>5351</v>
      </c>
      <c r="C1136" s="2" t="s">
        <v>5353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5354</v>
      </c>
      <c r="B1137" s="2" t="s">
        <v>3917</v>
      </c>
      <c r="C1137" s="2" t="s">
        <v>3918</v>
      </c>
      <c r="D1137" s="2" t="s">
        <v>8</v>
      </c>
      <c r="O1137" s="2" t="s">
        <v>3176</v>
      </c>
      <c r="P1137" s="2" t="str">
        <f>+VLOOKUP(Maestro_Clientes[[#This Row],[Entrega]],Preparacion!A:B,2,0)</f>
        <v>Expreso</v>
      </c>
    </row>
    <row r="1138" spans="1:16" x14ac:dyDescent="0.25">
      <c r="A1138" s="2" t="s">
        <v>5355</v>
      </c>
      <c r="B1138" s="2" t="s">
        <v>106</v>
      </c>
      <c r="C1138" s="2" t="s">
        <v>107</v>
      </c>
      <c r="D1138" s="2" t="s">
        <v>8</v>
      </c>
      <c r="O1138" s="2" t="s">
        <v>3158</v>
      </c>
      <c r="P1138" s="2" t="str">
        <f>+VLOOKUP(Maestro_Clientes[[#This Row],[Entrega]],Preparacion!A:B,2,0)</f>
        <v>MIERCOLES</v>
      </c>
    </row>
    <row r="1139" spans="1:16" x14ac:dyDescent="0.25">
      <c r="A1139" s="2" t="s">
        <v>5356</v>
      </c>
      <c r="B1139" s="2" t="s">
        <v>5358</v>
      </c>
      <c r="C1139" s="2" t="s">
        <v>5357</v>
      </c>
      <c r="D1139" s="2" t="s">
        <v>8</v>
      </c>
      <c r="O1139" s="2" t="s">
        <v>3023</v>
      </c>
      <c r="P1139" s="2" t="str">
        <f>+VLOOKUP(Maestro_Clientes[[#This Row],[Entrega]],Preparacion!A:B,2,0)</f>
        <v>JUEVES</v>
      </c>
    </row>
    <row r="1140" spans="1:16" x14ac:dyDescent="0.25">
      <c r="A1140" s="2" t="s">
        <v>5359</v>
      </c>
      <c r="B1140" s="2" t="s">
        <v>1800</v>
      </c>
      <c r="C1140" s="2" t="s">
        <v>1801</v>
      </c>
      <c r="D1140" s="2" t="s">
        <v>8</v>
      </c>
      <c r="O1140" s="2" t="s">
        <v>3158</v>
      </c>
      <c r="P1140" s="2" t="str">
        <f>+VLOOKUP(Maestro_Clientes[[#This Row],[Entrega]],Preparacion!A:B,2,0)</f>
        <v>MIERCOLES</v>
      </c>
    </row>
    <row r="1141" spans="1:16" x14ac:dyDescent="0.25">
      <c r="A1141" s="2" t="s">
        <v>5361</v>
      </c>
      <c r="B1141" s="2" t="s">
        <v>5360</v>
      </c>
      <c r="C1141" s="2" t="s">
        <v>5362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5364</v>
      </c>
      <c r="B1142" s="2" t="s">
        <v>5363</v>
      </c>
      <c r="C1142" s="2" t="s">
        <v>5365</v>
      </c>
      <c r="D1142" s="2" t="s">
        <v>8</v>
      </c>
      <c r="O1142" s="2" t="s">
        <v>3176</v>
      </c>
      <c r="P1142" s="2" t="str">
        <f>+VLOOKUP(Maestro_Clientes[[#This Row],[Entrega]],Preparacion!A:B,2,0)</f>
        <v>Expreso</v>
      </c>
    </row>
    <row r="1143" spans="1:16" x14ac:dyDescent="0.25">
      <c r="A1143" s="2" t="s">
        <v>5367</v>
      </c>
      <c r="B1143" s="2" t="s">
        <v>5366</v>
      </c>
      <c r="C1143" s="2" t="s">
        <v>5368</v>
      </c>
      <c r="D1143" s="2" t="s">
        <v>8</v>
      </c>
      <c r="O1143" s="2" t="s">
        <v>3011</v>
      </c>
      <c r="P1143" s="2" t="str">
        <f>+VLOOKUP(Maestro_Clientes[[#This Row],[Entrega]],Preparacion!A:B,2,0)</f>
        <v>DIARIA</v>
      </c>
    </row>
    <row r="1144" spans="1:16" x14ac:dyDescent="0.25">
      <c r="A1144" s="2" t="s">
        <v>5372</v>
      </c>
      <c r="B1144" s="2" t="s">
        <v>5370</v>
      </c>
      <c r="C1144" s="2" t="s">
        <v>5371</v>
      </c>
      <c r="D1144" s="2" t="s">
        <v>8</v>
      </c>
      <c r="O1144" s="2" t="s">
        <v>3176</v>
      </c>
      <c r="P1144" s="2" t="str">
        <f>+VLOOKUP(Maestro_Clientes[[#This Row],[Entrega]],Preparacion!A:B,2,0)</f>
        <v>Expreso</v>
      </c>
    </row>
    <row r="1145" spans="1:16" x14ac:dyDescent="0.25">
      <c r="A1145" s="2" t="s">
        <v>5375</v>
      </c>
      <c r="B1145" s="2" t="s">
        <v>5373</v>
      </c>
      <c r="C1145" s="2" t="s">
        <v>5374</v>
      </c>
      <c r="D1145" s="2" t="s">
        <v>8</v>
      </c>
      <c r="O1145" s="2" t="s">
        <v>3011</v>
      </c>
      <c r="P1145" s="2" t="str">
        <f>+VLOOKUP(Maestro_Clientes[[#This Row],[Entrega]],Preparacion!A:B,2,0)</f>
        <v>DIARIA</v>
      </c>
    </row>
    <row r="1146" spans="1:16" x14ac:dyDescent="0.25">
      <c r="A1146" s="2" t="s">
        <v>5378</v>
      </c>
      <c r="B1146" s="2" t="s">
        <v>5376</v>
      </c>
      <c r="C1146" s="2" t="s">
        <v>5377</v>
      </c>
      <c r="D1146" s="2" t="s">
        <v>8</v>
      </c>
      <c r="O1146" s="2" t="s">
        <v>3023</v>
      </c>
      <c r="P1146" s="2" t="str">
        <f>+VLOOKUP(Maestro_Clientes[[#This Row],[Entrega]],Preparacion!A:B,2,0)</f>
        <v>JUEVES</v>
      </c>
    </row>
    <row r="1147" spans="1:16" x14ac:dyDescent="0.25">
      <c r="A1147" s="2" t="s">
        <v>5381</v>
      </c>
      <c r="B1147" s="2" t="s">
        <v>5379</v>
      </c>
      <c r="C1147" s="2" t="s">
        <v>5380</v>
      </c>
      <c r="D1147" s="2" t="s">
        <v>8</v>
      </c>
      <c r="O1147" s="2" t="s">
        <v>3176</v>
      </c>
      <c r="P1147" s="2" t="str">
        <f>+VLOOKUP(Maestro_Clientes[[#This Row],[Entrega]],Preparacion!A:B,2,0)</f>
        <v>Expreso</v>
      </c>
    </row>
    <row r="1148" spans="1:16" x14ac:dyDescent="0.25">
      <c r="A1148" s="2" t="s">
        <v>5383</v>
      </c>
      <c r="B1148" s="2" t="s">
        <v>5382</v>
      </c>
      <c r="C1148" s="2" t="s">
        <v>5384</v>
      </c>
      <c r="D1148" s="2" t="s">
        <v>8</v>
      </c>
      <c r="O1148" s="2" t="s">
        <v>3125</v>
      </c>
      <c r="P1148" s="2" t="str">
        <f>+VLOOKUP(Maestro_Clientes[[#This Row],[Entrega]],Preparacion!A:B,2,0)</f>
        <v>MARTES</v>
      </c>
    </row>
    <row r="1149" spans="1:16" x14ac:dyDescent="0.25">
      <c r="A1149" s="2" t="s">
        <v>5386</v>
      </c>
      <c r="B1149" s="2" t="s">
        <v>5385</v>
      </c>
      <c r="C1149" s="2" t="s">
        <v>5387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5388</v>
      </c>
      <c r="B1150" s="2" t="s">
        <v>1593</v>
      </c>
      <c r="C1150" s="2" t="s">
        <v>1594</v>
      </c>
      <c r="D1150" s="2" t="s">
        <v>8</v>
      </c>
      <c r="O1150" s="2" t="s">
        <v>3023</v>
      </c>
      <c r="P1150" s="2" t="str">
        <f>+VLOOKUP(Maestro_Clientes[[#This Row],[Entrega]],Preparacion!A:B,2,0)</f>
        <v>JUEVES</v>
      </c>
    </row>
    <row r="1151" spans="1:16" x14ac:dyDescent="0.25">
      <c r="A1151" s="2" t="s">
        <v>5391</v>
      </c>
      <c r="B1151" s="2" t="s">
        <v>5389</v>
      </c>
      <c r="C1151" s="2" t="s">
        <v>5390</v>
      </c>
      <c r="D1151" s="2" t="s">
        <v>8</v>
      </c>
      <c r="O1151" s="2" t="s">
        <v>3125</v>
      </c>
      <c r="P1151" s="2" t="str">
        <f>+VLOOKUP(Maestro_Clientes[[#This Row],[Entrega]],Preparacion!A:B,2,0)</f>
        <v>MARTES</v>
      </c>
    </row>
    <row r="1152" spans="1:16" x14ac:dyDescent="0.25">
      <c r="A1152" s="2" t="s">
        <v>5392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5393</v>
      </c>
      <c r="B1153" s="2" t="s">
        <v>149</v>
      </c>
      <c r="C1153" s="2" t="s">
        <v>150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5396</v>
      </c>
      <c r="B1154" s="2" t="s">
        <v>5394</v>
      </c>
      <c r="C1154" s="2" t="s">
        <v>5395</v>
      </c>
      <c r="D1154" s="2" t="s">
        <v>8</v>
      </c>
      <c r="O1154" s="2" t="s">
        <v>3176</v>
      </c>
      <c r="P1154" s="2" t="str">
        <f>+VLOOKUP(Maestro_Clientes[[#This Row],[Entrega]],Preparacion!A:B,2,0)</f>
        <v>Expreso</v>
      </c>
    </row>
    <row r="1155" spans="1:16" x14ac:dyDescent="0.25">
      <c r="A1155" s="2" t="s">
        <v>5399</v>
      </c>
      <c r="B1155" s="2" t="s">
        <v>5397</v>
      </c>
      <c r="C1155" s="2" t="s">
        <v>5398</v>
      </c>
      <c r="D1155" s="2" t="s">
        <v>8</v>
      </c>
      <c r="O1155" s="2" t="s">
        <v>3158</v>
      </c>
      <c r="P1155" s="2" t="str">
        <f>+VLOOKUP(Maestro_Clientes[[#This Row],[Entrega]],Preparacion!A:B,2,0)</f>
        <v>MIERCOLES</v>
      </c>
    </row>
    <row r="1156" spans="1:16" x14ac:dyDescent="0.25">
      <c r="A1156" s="2" t="s">
        <v>5402</v>
      </c>
      <c r="B1156" s="2" t="s">
        <v>5400</v>
      </c>
      <c r="C1156" s="2" t="s">
        <v>5401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5405</v>
      </c>
      <c r="B1157" s="2" t="s">
        <v>5403</v>
      </c>
      <c r="C1157" s="2" t="s">
        <v>5404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5408</v>
      </c>
      <c r="B1158" s="2" t="s">
        <v>5406</v>
      </c>
      <c r="C1158" s="2" t="s">
        <v>5407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5409</v>
      </c>
      <c r="B1159" s="2" t="s">
        <v>5411</v>
      </c>
      <c r="C1159" s="2" t="s">
        <v>5410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5414</v>
      </c>
      <c r="B1160" s="2" t="s">
        <v>5413</v>
      </c>
      <c r="C1160" s="2" t="s">
        <v>5412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5417</v>
      </c>
      <c r="B1161" s="2" t="s">
        <v>5416</v>
      </c>
      <c r="C1161" s="2" t="s">
        <v>5418</v>
      </c>
      <c r="D1161" s="2" t="s">
        <v>8</v>
      </c>
      <c r="O1161" s="2" t="s">
        <v>3176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5422</v>
      </c>
      <c r="B1162" s="2" t="s">
        <v>5420</v>
      </c>
      <c r="C1162" s="2" t="s">
        <v>5421</v>
      </c>
      <c r="D1162" s="2" t="s">
        <v>8</v>
      </c>
      <c r="O1162" s="2" t="s">
        <v>3009</v>
      </c>
      <c r="P1162" s="2" t="str">
        <f>+VLOOKUP(Maestro_Clientes[[#This Row],[Entrega]],Preparacion!A:B,2,0)</f>
        <v>Expreso</v>
      </c>
    </row>
    <row r="1163" spans="1:16" x14ac:dyDescent="0.25">
      <c r="A1163" s="2" t="s">
        <v>5425</v>
      </c>
      <c r="B1163" s="2" t="s">
        <v>5424</v>
      </c>
      <c r="C1163" s="2" t="s">
        <v>5426</v>
      </c>
      <c r="D1163" s="2" t="s">
        <v>8</v>
      </c>
      <c r="O1163" s="2" t="s">
        <v>3023</v>
      </c>
      <c r="P1163" s="2" t="str">
        <f>+VLOOKUP(Maestro_Clientes[[#This Row],[Entrega]],Preparacion!A:B,2,0)</f>
        <v>JUEVES</v>
      </c>
    </row>
    <row r="1164" spans="1:16" x14ac:dyDescent="0.25">
      <c r="A1164" s="2" t="s">
        <v>5431</v>
      </c>
      <c r="B1164" s="2" t="s">
        <v>5429</v>
      </c>
      <c r="C1164" s="2" t="s">
        <v>5430</v>
      </c>
      <c r="D1164" s="2" t="s">
        <v>8</v>
      </c>
      <c r="O1164" s="2" t="s">
        <v>3009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5434</v>
      </c>
      <c r="B1165" s="2" t="s">
        <v>5432</v>
      </c>
      <c r="C1165" s="2" t="s">
        <v>5433</v>
      </c>
      <c r="D1165" s="2" t="s">
        <v>8</v>
      </c>
      <c r="O1165" s="2" t="s">
        <v>3176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5438</v>
      </c>
      <c r="B1166" s="2" t="s">
        <v>5436</v>
      </c>
      <c r="C1166" s="2" t="s">
        <v>5437</v>
      </c>
      <c r="D1166" s="2" t="s">
        <v>8</v>
      </c>
      <c r="O1166" s="2" t="s">
        <v>3009</v>
      </c>
      <c r="P1166" s="2" t="str">
        <f>+VLOOKUP(Maestro_Clientes[[#This Row],[Entrega]],Preparacion!A:B,2,0)</f>
        <v>Expreso</v>
      </c>
    </row>
    <row r="1167" spans="1:16" x14ac:dyDescent="0.25">
      <c r="A1167" s="2" t="s">
        <v>5441</v>
      </c>
      <c r="B1167" s="2" t="s">
        <v>5439</v>
      </c>
      <c r="C1167" s="2" t="s">
        <v>5440</v>
      </c>
      <c r="D1167" s="2" t="s">
        <v>8</v>
      </c>
      <c r="O1167" s="2" t="s">
        <v>3125</v>
      </c>
      <c r="P1167" s="2" t="str">
        <f>+VLOOKUP(Maestro_Clientes[[#This Row],[Entrega]],Preparacion!A:B,2,0)</f>
        <v>MARTES</v>
      </c>
    </row>
    <row r="1168" spans="1:16" x14ac:dyDescent="0.25">
      <c r="A1168" s="2" t="s">
        <v>5444</v>
      </c>
      <c r="B1168" s="2" t="s">
        <v>5442</v>
      </c>
      <c r="C1168" s="2" t="s">
        <v>5443</v>
      </c>
      <c r="D1168" s="2" t="s">
        <v>8</v>
      </c>
      <c r="O1168" s="2" t="s">
        <v>3009</v>
      </c>
      <c r="P1168" s="2" t="str">
        <f>+VLOOKUP(Maestro_Clientes[[#This Row],[Entrega]],Preparacion!A:B,2,0)</f>
        <v>Expreso</v>
      </c>
    </row>
    <row r="1169" spans="1:17" x14ac:dyDescent="0.25">
      <c r="A1169" s="2" t="s">
        <v>5447</v>
      </c>
      <c r="B1169" s="2" t="s">
        <v>5445</v>
      </c>
      <c r="C1169" s="2" t="s">
        <v>5446</v>
      </c>
      <c r="D1169" s="2" t="s">
        <v>8</v>
      </c>
      <c r="O1169" s="2" t="s">
        <v>3023</v>
      </c>
      <c r="P1169" s="2" t="str">
        <f>+VLOOKUP(Maestro_Clientes[[#This Row],[Entrega]],Preparacion!A:B,2,0)</f>
        <v>JUEVES</v>
      </c>
    </row>
    <row r="1170" spans="1:17" x14ac:dyDescent="0.25">
      <c r="A1170" s="2" t="s">
        <v>5448</v>
      </c>
      <c r="B1170" s="2" t="s">
        <v>5449</v>
      </c>
      <c r="C1170" s="2" t="s">
        <v>5450</v>
      </c>
      <c r="D1170" s="2" t="s">
        <v>8</v>
      </c>
      <c r="O1170" s="2" t="s">
        <v>3176</v>
      </c>
      <c r="P1170" s="2" t="str">
        <f>+VLOOKUP(Maestro_Clientes[[#This Row],[Entrega]],Preparacion!A:B,2,0)</f>
        <v>Expreso</v>
      </c>
    </row>
    <row r="1171" spans="1:17" x14ac:dyDescent="0.25">
      <c r="A1171" s="2" t="s">
        <v>5452</v>
      </c>
      <c r="B1171" s="2" t="s">
        <v>5453</v>
      </c>
      <c r="C1171" s="2" t="s">
        <v>5451</v>
      </c>
      <c r="D1171" s="2" t="s">
        <v>8</v>
      </c>
      <c r="O1171" s="2" t="s">
        <v>3116</v>
      </c>
      <c r="P1171" s="2" t="str">
        <f>+VLOOKUP(Maestro_Clientes[[#This Row],[Entrega]],Preparacion!A:B,2,0)</f>
        <v>LUNES</v>
      </c>
    </row>
    <row r="1172" spans="1:17" x14ac:dyDescent="0.25">
      <c r="A1172" s="2" t="s">
        <v>5456</v>
      </c>
      <c r="B1172" s="2" t="s">
        <v>5454</v>
      </c>
      <c r="C1172" s="2" t="s">
        <v>5455</v>
      </c>
      <c r="D1172" s="2" t="s">
        <v>8</v>
      </c>
      <c r="O1172" s="2" t="s">
        <v>3176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5457</v>
      </c>
      <c r="B1173" s="2" t="s">
        <v>4160</v>
      </c>
      <c r="C1173" s="2" t="s">
        <v>4161</v>
      </c>
      <c r="D1173" s="2" t="s">
        <v>8</v>
      </c>
      <c r="O1173" s="2" t="s">
        <v>3009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5458</v>
      </c>
      <c r="B1174" s="2" t="s">
        <v>4160</v>
      </c>
      <c r="C1174" s="2" t="s">
        <v>4161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5461</v>
      </c>
      <c r="B1175" s="2" t="s">
        <v>5459</v>
      </c>
      <c r="C1175" s="2" t="s">
        <v>5460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5464</v>
      </c>
      <c r="B1176" s="2" t="s">
        <v>5462</v>
      </c>
      <c r="C1176" s="2" t="s">
        <v>5463</v>
      </c>
      <c r="D1176" s="2" t="s">
        <v>8</v>
      </c>
      <c r="O1176" s="2" t="s">
        <v>3176</v>
      </c>
      <c r="P1176" s="2" t="str">
        <f>+VLOOKUP(Maestro_Clientes[[#This Row],[Entrega]],Preparacion!A:B,2,0)</f>
        <v>Expreso</v>
      </c>
    </row>
    <row r="1177" spans="1:17" x14ac:dyDescent="0.25">
      <c r="A1177" s="2" t="s">
        <v>5465</v>
      </c>
      <c r="B1177" s="2" t="s">
        <v>5466</v>
      </c>
      <c r="C1177" s="2" t="s">
        <v>5467</v>
      </c>
      <c r="D1177" s="2" t="s">
        <v>8</v>
      </c>
      <c r="E1177" s="2" t="s">
        <v>5468</v>
      </c>
      <c r="H1177" s="2" t="s">
        <v>5469</v>
      </c>
      <c r="I1177" s="2" t="s">
        <v>62</v>
      </c>
      <c r="K1177" s="2" t="s">
        <v>5470</v>
      </c>
      <c r="L1177" s="2" t="s">
        <v>1481</v>
      </c>
      <c r="M1177" s="2" t="s">
        <v>2706</v>
      </c>
      <c r="N1177" s="2" t="s">
        <v>2706</v>
      </c>
      <c r="O1177" s="2" t="s">
        <v>3116</v>
      </c>
      <c r="P1177" s="2" t="s">
        <v>3023</v>
      </c>
      <c r="Q1177" s="2" t="s">
        <v>5471</v>
      </c>
    </row>
    <row r="1178" spans="1:17" x14ac:dyDescent="0.25">
      <c r="A1178" s="2" t="s">
        <v>5472</v>
      </c>
      <c r="B1178" s="2" t="s">
        <v>5473</v>
      </c>
      <c r="C1178" s="2" t="s">
        <v>5474</v>
      </c>
      <c r="D1178" s="2" t="s">
        <v>8</v>
      </c>
      <c r="E1178" s="2" t="s">
        <v>5475</v>
      </c>
      <c r="H1178" s="2" t="s">
        <v>237</v>
      </c>
      <c r="I1178" s="2" t="s">
        <v>237</v>
      </c>
      <c r="K1178" s="2" t="s">
        <v>237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5477</v>
      </c>
    </row>
    <row r="1179" spans="1:17" x14ac:dyDescent="0.25">
      <c r="A1179" s="2" t="s">
        <v>5478</v>
      </c>
      <c r="B1179" s="2" t="s">
        <v>149</v>
      </c>
      <c r="C1179" s="2" t="s">
        <v>150</v>
      </c>
      <c r="D1179" s="2" t="s">
        <v>8</v>
      </c>
      <c r="E1179" s="2" t="s">
        <v>5479</v>
      </c>
      <c r="H1179" s="2" t="s">
        <v>5480</v>
      </c>
      <c r="I1179" s="2" t="s">
        <v>5481</v>
      </c>
      <c r="K1179" s="2" t="s">
        <v>126</v>
      </c>
      <c r="L1179" s="2" t="s">
        <v>5476</v>
      </c>
      <c r="M1179" s="2" t="s">
        <v>2706</v>
      </c>
      <c r="N1179" s="2" t="s">
        <v>2706</v>
      </c>
      <c r="O1179" s="2" t="s">
        <v>3009</v>
      </c>
      <c r="P1179" s="2" t="s">
        <v>3009</v>
      </c>
      <c r="Q1179" s="2" t="s">
        <v>5482</v>
      </c>
    </row>
    <row r="1180" spans="1:17" x14ac:dyDescent="0.25">
      <c r="A1180" s="2" t="s">
        <v>5483</v>
      </c>
      <c r="B1180" s="2" t="s">
        <v>2220</v>
      </c>
      <c r="C1180" s="2" t="s">
        <v>2221</v>
      </c>
      <c r="D1180" s="2" t="s">
        <v>8</v>
      </c>
      <c r="E1180" s="2" t="s">
        <v>5484</v>
      </c>
      <c r="H1180" s="2" t="s">
        <v>5485</v>
      </c>
      <c r="I1180" s="2" t="s">
        <v>5485</v>
      </c>
      <c r="K1180" s="2" t="s">
        <v>12</v>
      </c>
      <c r="L1180" s="2" t="s">
        <v>618</v>
      </c>
      <c r="M1180" s="2" t="s">
        <v>2706</v>
      </c>
      <c r="N1180" s="2" t="s">
        <v>2706</v>
      </c>
      <c r="O1180" s="2" t="s">
        <v>3158</v>
      </c>
      <c r="P1180" s="2" t="s">
        <v>3116</v>
      </c>
      <c r="Q1180" s="2" t="s">
        <v>5486</v>
      </c>
    </row>
    <row r="1181" spans="1:17" x14ac:dyDescent="0.25">
      <c r="A1181" s="2" t="s">
        <v>5487</v>
      </c>
      <c r="B1181" s="2" t="s">
        <v>5488</v>
      </c>
      <c r="C1181" s="2" t="s">
        <v>5489</v>
      </c>
      <c r="D1181" s="2" t="s">
        <v>8</v>
      </c>
      <c r="E1181" s="2" t="s">
        <v>926</v>
      </c>
      <c r="H1181" s="2" t="s">
        <v>5490</v>
      </c>
      <c r="I1181" s="2" t="s">
        <v>62</v>
      </c>
      <c r="K1181" s="2" t="s">
        <v>5470</v>
      </c>
      <c r="L1181" s="2" t="s">
        <v>64</v>
      </c>
      <c r="M1181" s="2" t="s">
        <v>2706</v>
      </c>
      <c r="N1181" s="2" t="s">
        <v>2706</v>
      </c>
      <c r="O1181" s="2" t="s">
        <v>3116</v>
      </c>
      <c r="P1181" s="2" t="s">
        <v>3023</v>
      </c>
      <c r="Q1181" s="2" t="s">
        <v>5491</v>
      </c>
    </row>
    <row r="1182" spans="1:17" x14ac:dyDescent="0.25">
      <c r="A1182" s="2" t="s">
        <v>5492</v>
      </c>
      <c r="B1182" s="2" t="s">
        <v>5493</v>
      </c>
      <c r="C1182" s="2" t="s">
        <v>5494</v>
      </c>
      <c r="D1182" s="2" t="s">
        <v>8</v>
      </c>
      <c r="E1182" s="2" t="s">
        <v>5495</v>
      </c>
      <c r="H1182" s="2" t="s">
        <v>643</v>
      </c>
      <c r="I1182" s="2" t="s">
        <v>643</v>
      </c>
      <c r="K1182" s="2" t="s">
        <v>12</v>
      </c>
      <c r="L1182" s="2" t="s">
        <v>643</v>
      </c>
      <c r="M1182" s="2" t="s">
        <v>2706</v>
      </c>
      <c r="N1182" s="2" t="s">
        <v>2706</v>
      </c>
      <c r="O1182" s="2" t="s">
        <v>3023</v>
      </c>
      <c r="P1182" s="2" t="s">
        <v>3125</v>
      </c>
      <c r="Q1182" s="2" t="s">
        <v>5496</v>
      </c>
    </row>
    <row r="1183" spans="1:17" x14ac:dyDescent="0.25">
      <c r="A1183" s="2" t="s">
        <v>5497</v>
      </c>
      <c r="B1183" s="2" t="s">
        <v>5498</v>
      </c>
      <c r="C1183" s="2" t="s">
        <v>5499</v>
      </c>
      <c r="D1183" s="2" t="s">
        <v>8</v>
      </c>
      <c r="E1183" s="2" t="s">
        <v>5500</v>
      </c>
      <c r="H1183" s="2" t="s">
        <v>3401</v>
      </c>
      <c r="I1183" s="2" t="s">
        <v>3401</v>
      </c>
      <c r="K1183" s="2" t="s">
        <v>12</v>
      </c>
      <c r="L1183" s="2" t="s">
        <v>77</v>
      </c>
      <c r="M1183" s="2" t="s">
        <v>2706</v>
      </c>
      <c r="N1183" s="2" t="s">
        <v>2706</v>
      </c>
      <c r="O1183" s="2" t="s">
        <v>3158</v>
      </c>
      <c r="P1183" s="2" t="str">
        <f>+VLOOKUP(Maestro_Clientes[[#This Row],[Entrega]],Preparacion!A:B,2,0)</f>
        <v>MIERCOLES</v>
      </c>
      <c r="Q1183" s="2" t="s">
        <v>5501</v>
      </c>
    </row>
    <row r="1184" spans="1:17" x14ac:dyDescent="0.25">
      <c r="A1184" s="2" t="s">
        <v>5502</v>
      </c>
      <c r="B1184" s="2" t="s">
        <v>604</v>
      </c>
      <c r="C1184" s="2" t="s">
        <v>605</v>
      </c>
      <c r="D1184" s="2" t="s">
        <v>8</v>
      </c>
      <c r="E1184" s="2" t="s">
        <v>5503</v>
      </c>
      <c r="H1184" s="2" t="s">
        <v>5504</v>
      </c>
      <c r="I1184" s="2" t="s">
        <v>175</v>
      </c>
      <c r="K1184" s="2" t="s">
        <v>147</v>
      </c>
      <c r="L1184" s="2" t="s">
        <v>5476</v>
      </c>
      <c r="M1184" s="2" t="s">
        <v>2706</v>
      </c>
      <c r="N1184" s="2" t="s">
        <v>2706</v>
      </c>
      <c r="O1184" s="2" t="s">
        <v>3009</v>
      </c>
      <c r="P1184" s="2" t="s">
        <v>3009</v>
      </c>
      <c r="Q1184" s="2" t="s">
        <v>5505</v>
      </c>
    </row>
    <row r="1185" spans="1:17" x14ac:dyDescent="0.25">
      <c r="A1185" s="2" t="s">
        <v>5506</v>
      </c>
      <c r="B1185" s="2" t="s">
        <v>755</v>
      </c>
      <c r="C1185" s="2" t="s">
        <v>756</v>
      </c>
      <c r="D1185" s="2" t="s">
        <v>8</v>
      </c>
      <c r="E1185" s="2" t="s">
        <v>5507</v>
      </c>
      <c r="H1185" s="2" t="s">
        <v>5508</v>
      </c>
      <c r="I1185" s="2" t="s">
        <v>62</v>
      </c>
      <c r="K1185" s="2" t="s">
        <v>5470</v>
      </c>
      <c r="L1185" s="2" t="s">
        <v>116</v>
      </c>
      <c r="M1185" s="2" t="s">
        <v>2706</v>
      </c>
      <c r="N1185" s="2" t="s">
        <v>2706</v>
      </c>
      <c r="O1185" s="2" t="s">
        <v>3011</v>
      </c>
      <c r="P1185" s="2" t="s">
        <v>3011</v>
      </c>
      <c r="Q1185" s="2" t="s">
        <v>5509</v>
      </c>
    </row>
    <row r="1186" spans="1:17" x14ac:dyDescent="0.25">
      <c r="A1186" s="2" t="s">
        <v>5510</v>
      </c>
      <c r="B1186" s="2" t="s">
        <v>5511</v>
      </c>
      <c r="C1186" s="2" t="s">
        <v>5512</v>
      </c>
      <c r="D1186" s="2" t="s">
        <v>8</v>
      </c>
      <c r="E1186" s="2" t="s">
        <v>1604</v>
      </c>
      <c r="H1186" s="2" t="s">
        <v>1603</v>
      </c>
      <c r="I1186" s="2" t="s">
        <v>62</v>
      </c>
      <c r="K1186" s="2" t="s">
        <v>5470</v>
      </c>
      <c r="L1186" s="2" t="s">
        <v>1077</v>
      </c>
      <c r="M1186" s="2" t="s">
        <v>2706</v>
      </c>
      <c r="N1186" s="2" t="s">
        <v>2706</v>
      </c>
      <c r="O1186" s="2" t="s">
        <v>3023</v>
      </c>
      <c r="P1186" s="2" t="s">
        <v>3125</v>
      </c>
      <c r="Q1186" s="2" t="s">
        <v>5513</v>
      </c>
    </row>
    <row r="1187" spans="1:17" x14ac:dyDescent="0.25">
      <c r="A1187" s="2" t="s">
        <v>5515</v>
      </c>
      <c r="B1187" s="2" t="s">
        <v>5514</v>
      </c>
      <c r="C1187" s="2" t="s">
        <v>5516</v>
      </c>
      <c r="D1187" s="2" t="s">
        <v>8</v>
      </c>
      <c r="O1187" s="2" t="s">
        <v>3068</v>
      </c>
      <c r="P1187" s="2" t="str">
        <f>+VLOOKUP(Maestro_Clientes[[#This Row],[Entrega]],Preparacion!A:B,2,0)</f>
        <v>VIERNES</v>
      </c>
    </row>
    <row r="1188" spans="1:17" x14ac:dyDescent="0.25">
      <c r="A1188" s="2" t="s">
        <v>5517</v>
      </c>
      <c r="B1188" s="2" t="s">
        <v>1800</v>
      </c>
      <c r="C1188" s="2" t="s">
        <v>1801</v>
      </c>
      <c r="D1188" s="2" t="s">
        <v>8</v>
      </c>
      <c r="O1188" s="2" t="s">
        <v>3116</v>
      </c>
      <c r="P1188" s="2" t="str">
        <f>+VLOOKUP(Maestro_Clientes[[#This Row],[Entrega]],Preparacion!A:B,2,0)</f>
        <v>LUNES</v>
      </c>
    </row>
    <row r="1189" spans="1:17" x14ac:dyDescent="0.25">
      <c r="A1189" s="2" t="s">
        <v>5519</v>
      </c>
      <c r="B1189" s="2" t="s">
        <v>149</v>
      </c>
      <c r="C1189" s="2" t="s">
        <v>150</v>
      </c>
      <c r="E1189" s="2" t="s">
        <v>5520</v>
      </c>
      <c r="H1189" s="2" t="s">
        <v>5521</v>
      </c>
      <c r="I1189" s="2" t="s">
        <v>2373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5522</v>
      </c>
    </row>
    <row r="1190" spans="1:17" x14ac:dyDescent="0.25">
      <c r="A1190" s="2" t="s">
        <v>5523</v>
      </c>
      <c r="B1190" s="2" t="s">
        <v>5524</v>
      </c>
      <c r="C1190" s="2" t="s">
        <v>5525</v>
      </c>
      <c r="E1190" s="2" t="s">
        <v>5526</v>
      </c>
      <c r="H1190" s="2" t="s">
        <v>229</v>
      </c>
      <c r="I1190" s="2" t="s">
        <v>126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5527</v>
      </c>
    </row>
    <row r="1191" spans="1:17" x14ac:dyDescent="0.25">
      <c r="A1191" s="2" t="s">
        <v>5528</v>
      </c>
      <c r="B1191" s="2" t="s">
        <v>604</v>
      </c>
      <c r="C1191" s="2" t="s">
        <v>605</v>
      </c>
      <c r="E1191" s="2" t="s">
        <v>5529</v>
      </c>
      <c r="H1191" s="2" t="s">
        <v>5530</v>
      </c>
      <c r="I1191" s="2" t="s">
        <v>5531</v>
      </c>
      <c r="K1191" s="2" t="s">
        <v>126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5532</v>
      </c>
    </row>
    <row r="1192" spans="1:17" x14ac:dyDescent="0.25">
      <c r="A1192" s="2" t="s">
        <v>5533</v>
      </c>
      <c r="B1192" s="2" t="s">
        <v>5534</v>
      </c>
      <c r="C1192" s="2" t="s">
        <v>5535</v>
      </c>
      <c r="E1192" s="2" t="s">
        <v>5536</v>
      </c>
      <c r="H1192" s="2" t="s">
        <v>5537</v>
      </c>
      <c r="I1192" s="2" t="s">
        <v>5537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5538</v>
      </c>
    </row>
    <row r="1193" spans="1:17" x14ac:dyDescent="0.25">
      <c r="A1193" s="2" t="s">
        <v>5539</v>
      </c>
      <c r="B1193" s="2" t="s">
        <v>5540</v>
      </c>
      <c r="C1193" s="2" t="s">
        <v>5541</v>
      </c>
      <c r="E1193" s="2" t="s">
        <v>5542</v>
      </c>
      <c r="H1193" s="2" t="s">
        <v>730</v>
      </c>
      <c r="I1193" s="2" t="s">
        <v>730</v>
      </c>
      <c r="K1193" s="2" t="s">
        <v>12</v>
      </c>
      <c r="L1193" s="2" t="s">
        <v>5476</v>
      </c>
      <c r="M1193" s="2" t="s">
        <v>2706</v>
      </c>
      <c r="N1193" s="2" t="s">
        <v>2706</v>
      </c>
      <c r="O1193" s="2" t="s">
        <v>3009</v>
      </c>
      <c r="P1193" s="2" t="s">
        <v>3009</v>
      </c>
      <c r="Q1193" s="2" t="s">
        <v>5543</v>
      </c>
    </row>
    <row r="1194" spans="1:17" x14ac:dyDescent="0.25">
      <c r="A1194" s="2" t="s">
        <v>5544</v>
      </c>
      <c r="B1194" s="2" t="s">
        <v>5545</v>
      </c>
      <c r="C1194" s="2" t="s">
        <v>5546</v>
      </c>
      <c r="E1194" s="2" t="s">
        <v>3429</v>
      </c>
      <c r="H1194" s="2" t="s">
        <v>1488</v>
      </c>
      <c r="I1194" s="2" t="s">
        <v>62</v>
      </c>
      <c r="K1194" s="2" t="s">
        <v>5470</v>
      </c>
      <c r="L1194" s="2" t="s">
        <v>64</v>
      </c>
      <c r="M1194" s="2" t="s">
        <v>2706</v>
      </c>
      <c r="N1194" s="2" t="s">
        <v>2706</v>
      </c>
      <c r="O1194" s="2" t="s">
        <v>3116</v>
      </c>
      <c r="P1194" s="2" t="s">
        <v>3023</v>
      </c>
      <c r="Q1194" s="2" t="s">
        <v>5547</v>
      </c>
    </row>
    <row r="1195" spans="1:17" x14ac:dyDescent="0.25">
      <c r="A1195" s="2" t="s">
        <v>5548</v>
      </c>
      <c r="B1195" s="2" t="s">
        <v>991</v>
      </c>
      <c r="C1195" s="2" t="s">
        <v>992</v>
      </c>
      <c r="E1195" s="2" t="s">
        <v>5549</v>
      </c>
      <c r="H1195" s="2" t="s">
        <v>5550</v>
      </c>
      <c r="I1195" s="2" t="s">
        <v>62</v>
      </c>
      <c r="K1195" s="2" t="s">
        <v>5470</v>
      </c>
      <c r="L1195" s="2" t="s">
        <v>116</v>
      </c>
      <c r="M1195" s="2" t="s">
        <v>2706</v>
      </c>
      <c r="N1195" s="2" t="s">
        <v>2706</v>
      </c>
      <c r="O1195" s="2" t="s">
        <v>3011</v>
      </c>
      <c r="P1195" s="2" t="s">
        <v>3011</v>
      </c>
      <c r="Q1195" s="2" t="s">
        <v>5551</v>
      </c>
    </row>
    <row r="1196" spans="1:17" x14ac:dyDescent="0.25">
      <c r="A1196" s="2" t="s">
        <v>5552</v>
      </c>
      <c r="B1196" s="2" t="s">
        <v>5553</v>
      </c>
      <c r="C1196" s="2" t="s">
        <v>5554</v>
      </c>
      <c r="E1196" s="2" t="s">
        <v>5555</v>
      </c>
      <c r="H1196" s="2" t="s">
        <v>5556</v>
      </c>
      <c r="I1196" s="2" t="s">
        <v>5556</v>
      </c>
      <c r="K1196" s="2" t="s">
        <v>12</v>
      </c>
      <c r="L1196" s="2" t="s">
        <v>5557</v>
      </c>
      <c r="M1196" s="2" t="s">
        <v>2706</v>
      </c>
      <c r="N1196" s="2" t="s">
        <v>2706</v>
      </c>
      <c r="O1196" s="2" t="s">
        <v>3116</v>
      </c>
      <c r="P1196" s="2" t="s">
        <v>3023</v>
      </c>
      <c r="Q1196" s="2" t="s">
        <v>5558</v>
      </c>
    </row>
    <row r="1197" spans="1:17" x14ac:dyDescent="0.25">
      <c r="A1197" s="2" t="s">
        <v>5559</v>
      </c>
      <c r="B1197" s="2" t="s">
        <v>5560</v>
      </c>
      <c r="C1197" s="2" t="s">
        <v>5561</v>
      </c>
      <c r="E1197" s="2" t="s">
        <v>5562</v>
      </c>
      <c r="H1197" s="2" t="s">
        <v>5563</v>
      </c>
      <c r="I1197" s="2" t="s">
        <v>5563</v>
      </c>
      <c r="K1197" s="2" t="s">
        <v>12</v>
      </c>
      <c r="L1197" s="2" t="s">
        <v>484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5564</v>
      </c>
    </row>
    <row r="1198" spans="1:17" x14ac:dyDescent="0.25">
      <c r="A1198" s="2" t="s">
        <v>5565</v>
      </c>
      <c r="B1198" s="2" t="s">
        <v>5566</v>
      </c>
      <c r="C1198" s="2" t="s">
        <v>5567</v>
      </c>
      <c r="E1198" s="2" t="s">
        <v>5568</v>
      </c>
      <c r="H1198" s="2" t="s">
        <v>173</v>
      </c>
      <c r="I1198" s="2" t="s">
        <v>446</v>
      </c>
      <c r="K1198" s="2" t="s">
        <v>12</v>
      </c>
      <c r="L1198" s="2" t="s">
        <v>447</v>
      </c>
      <c r="M1198" s="2" t="s">
        <v>2706</v>
      </c>
      <c r="N1198" s="2" t="s">
        <v>2706</v>
      </c>
      <c r="O1198" s="2" t="s">
        <v>3125</v>
      </c>
      <c r="P1198" s="2" t="s">
        <v>3068</v>
      </c>
      <c r="Q1198" s="2" t="s">
        <v>5569</v>
      </c>
    </row>
    <row r="1199" spans="1:17" x14ac:dyDescent="0.25">
      <c r="A1199" s="2" t="s">
        <v>5570</v>
      </c>
      <c r="B1199" s="2" t="s">
        <v>5091</v>
      </c>
      <c r="C1199" s="2" t="s">
        <v>5092</v>
      </c>
      <c r="E1199" s="2" t="s">
        <v>5571</v>
      </c>
      <c r="H1199" s="2" t="s">
        <v>1481</v>
      </c>
      <c r="I1199" s="2" t="s">
        <v>62</v>
      </c>
      <c r="K1199" s="2" t="s">
        <v>5470</v>
      </c>
      <c r="L1199" s="2" t="s">
        <v>1481</v>
      </c>
      <c r="M1199" s="2" t="s">
        <v>2706</v>
      </c>
      <c r="N1199" s="2" t="s">
        <v>2706</v>
      </c>
      <c r="O1199" s="2" t="s">
        <v>3116</v>
      </c>
      <c r="P1199" s="2" t="s">
        <v>3023</v>
      </c>
      <c r="Q1199" s="2" t="s">
        <v>5572</v>
      </c>
    </row>
    <row r="1200" spans="1:17" x14ac:dyDescent="0.25">
      <c r="A1200" s="2" t="s">
        <v>5573</v>
      </c>
      <c r="B1200" s="2" t="s">
        <v>5574</v>
      </c>
      <c r="C1200" s="2" t="s">
        <v>5575</v>
      </c>
      <c r="E1200" s="2" t="s">
        <v>5576</v>
      </c>
      <c r="H1200" s="2" t="s">
        <v>10</v>
      </c>
      <c r="I1200" s="2" t="s">
        <v>10</v>
      </c>
      <c r="K1200" s="2" t="s">
        <v>12</v>
      </c>
      <c r="L1200" s="2" t="s">
        <v>10</v>
      </c>
      <c r="M1200" s="2" t="s">
        <v>2706</v>
      </c>
      <c r="N1200" s="2" t="s">
        <v>2706</v>
      </c>
      <c r="O1200" s="2" t="s">
        <v>3068</v>
      </c>
      <c r="P1200" s="2" t="s">
        <v>3158</v>
      </c>
      <c r="Q1200" s="2" t="s">
        <v>5577</v>
      </c>
    </row>
    <row r="1201" spans="1:17" x14ac:dyDescent="0.25">
      <c r="A1201" s="2" t="s">
        <v>5578</v>
      </c>
      <c r="B1201" s="2" t="s">
        <v>5579</v>
      </c>
      <c r="C1201" s="2" t="s">
        <v>5580</v>
      </c>
      <c r="E1201" s="2" t="s">
        <v>5581</v>
      </c>
      <c r="H1201" s="2" t="s">
        <v>173</v>
      </c>
      <c r="I1201" s="2" t="s">
        <v>5582</v>
      </c>
      <c r="K1201" s="2" t="s">
        <v>186</v>
      </c>
      <c r="L1201" s="2" t="s">
        <v>5476</v>
      </c>
      <c r="M1201" s="2" t="s">
        <v>2706</v>
      </c>
      <c r="N1201" s="2" t="s">
        <v>2706</v>
      </c>
      <c r="O1201" s="2" t="s">
        <v>3009</v>
      </c>
      <c r="P1201" s="2" t="s">
        <v>3009</v>
      </c>
      <c r="Q1201" s="2" t="s">
        <v>5583</v>
      </c>
    </row>
    <row r="1202" spans="1:17" x14ac:dyDescent="0.25">
      <c r="A1202" s="2" t="s">
        <v>5584</v>
      </c>
      <c r="B1202" s="2" t="s">
        <v>5585</v>
      </c>
      <c r="C1202" s="2" t="s">
        <v>5586</v>
      </c>
      <c r="E1202" s="2" t="s">
        <v>2422</v>
      </c>
      <c r="H1202" s="2" t="s">
        <v>1285</v>
      </c>
      <c r="I1202" s="2" t="s">
        <v>62</v>
      </c>
      <c r="K1202" s="2" t="s">
        <v>5470</v>
      </c>
      <c r="L1202" s="2" t="s">
        <v>950</v>
      </c>
      <c r="M1202" s="2" t="s">
        <v>2706</v>
      </c>
      <c r="N1202" s="2" t="s">
        <v>2706</v>
      </c>
      <c r="O1202" s="2" t="s">
        <v>3023</v>
      </c>
      <c r="P1202" s="2" t="s">
        <v>3125</v>
      </c>
      <c r="Q1202" s="2" t="s">
        <v>5587</v>
      </c>
    </row>
    <row r="1203" spans="1:17" x14ac:dyDescent="0.25">
      <c r="A1203" s="2" t="s">
        <v>5588</v>
      </c>
      <c r="B1203" s="2" t="s">
        <v>5589</v>
      </c>
      <c r="C1203" s="2" t="s">
        <v>5590</v>
      </c>
      <c r="E1203" s="2" t="s">
        <v>5591</v>
      </c>
      <c r="H1203" s="2" t="s">
        <v>173</v>
      </c>
      <c r="I1203" s="2" t="s">
        <v>5592</v>
      </c>
      <c r="K1203" s="2" t="s">
        <v>281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5593</v>
      </c>
    </row>
    <row r="1204" spans="1:17" x14ac:dyDescent="0.25">
      <c r="A1204" s="2" t="s">
        <v>5594</v>
      </c>
      <c r="B1204" s="2" t="s">
        <v>435</v>
      </c>
      <c r="C1204" s="2" t="s">
        <v>436</v>
      </c>
      <c r="E1204" s="2" t="s">
        <v>5595</v>
      </c>
      <c r="H1204" s="2" t="s">
        <v>5596</v>
      </c>
      <c r="I1204" s="2" t="s">
        <v>5597</v>
      </c>
      <c r="K1204" s="2" t="s">
        <v>440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5598</v>
      </c>
    </row>
    <row r="1205" spans="1:17" x14ac:dyDescent="0.25">
      <c r="A1205" s="2" t="s">
        <v>5599</v>
      </c>
      <c r="B1205" s="2" t="s">
        <v>5600</v>
      </c>
      <c r="C1205" s="2" t="s">
        <v>5601</v>
      </c>
      <c r="E1205" s="2" t="s">
        <v>5602</v>
      </c>
      <c r="H1205" s="2" t="s">
        <v>5603</v>
      </c>
      <c r="I1205" s="2" t="s">
        <v>4405</v>
      </c>
      <c r="K1205" s="2" t="s">
        <v>126</v>
      </c>
      <c r="L1205" s="2" t="s">
        <v>5476</v>
      </c>
      <c r="M1205" s="2" t="s">
        <v>2706</v>
      </c>
      <c r="N1205" s="2" t="s">
        <v>2706</v>
      </c>
      <c r="O1205" s="2" t="s">
        <v>3009</v>
      </c>
      <c r="P1205" s="2" t="s">
        <v>3009</v>
      </c>
      <c r="Q1205" s="2" t="s">
        <v>5604</v>
      </c>
    </row>
    <row r="1206" spans="1:17" x14ac:dyDescent="0.25">
      <c r="A1206" s="2" t="s">
        <v>5605</v>
      </c>
      <c r="B1206" s="2" t="s">
        <v>5606</v>
      </c>
      <c r="C1206" s="2" t="s">
        <v>5607</v>
      </c>
      <c r="E1206" s="2" t="s">
        <v>5608</v>
      </c>
      <c r="H1206" s="2" t="s">
        <v>5609</v>
      </c>
      <c r="I1206" s="2" t="s">
        <v>5609</v>
      </c>
      <c r="K1206" s="2" t="s">
        <v>12</v>
      </c>
      <c r="L1206" s="2" t="s">
        <v>346</v>
      </c>
      <c r="M1206" s="2" t="s">
        <v>2706</v>
      </c>
      <c r="N1206" s="2" t="s">
        <v>2706</v>
      </c>
      <c r="O1206" s="2" t="s">
        <v>3023</v>
      </c>
      <c r="P1206" s="2" t="s">
        <v>3125</v>
      </c>
      <c r="Q1206" s="2" t="s">
        <v>5610</v>
      </c>
    </row>
    <row r="1207" spans="1:17" x14ac:dyDescent="0.25">
      <c r="A1207" s="2" t="s">
        <v>5611</v>
      </c>
      <c r="B1207" s="2" t="s">
        <v>5612</v>
      </c>
      <c r="C1207" s="2" t="s">
        <v>5613</v>
      </c>
      <c r="E1207" s="2" t="s">
        <v>5614</v>
      </c>
      <c r="H1207" s="2" t="s">
        <v>173</v>
      </c>
      <c r="I1207" s="2" t="s">
        <v>5615</v>
      </c>
      <c r="K1207" s="2" t="s">
        <v>126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5616</v>
      </c>
    </row>
    <row r="1208" spans="1:17" x14ac:dyDescent="0.25">
      <c r="A1208" s="2" t="s">
        <v>5617</v>
      </c>
      <c r="B1208" s="2" t="s">
        <v>5618</v>
      </c>
      <c r="C1208" s="2" t="s">
        <v>5619</v>
      </c>
      <c r="E1208" s="2" t="s">
        <v>5620</v>
      </c>
      <c r="H1208" s="2" t="s">
        <v>5621</v>
      </c>
      <c r="I1208" s="2" t="s">
        <v>1224</v>
      </c>
      <c r="K1208" s="2" t="s">
        <v>12</v>
      </c>
      <c r="L1208" s="2" t="s">
        <v>5476</v>
      </c>
      <c r="M1208" s="2" t="s">
        <v>2706</v>
      </c>
      <c r="N1208" s="2" t="s">
        <v>2706</v>
      </c>
      <c r="O1208" s="2" t="s">
        <v>3009</v>
      </c>
      <c r="P1208" s="2" t="s">
        <v>3009</v>
      </c>
      <c r="Q1208" s="2" t="s">
        <v>5622</v>
      </c>
    </row>
    <row r="1209" spans="1:17" x14ac:dyDescent="0.25">
      <c r="A1209" s="2" t="s">
        <v>5623</v>
      </c>
      <c r="B1209" s="2" t="s">
        <v>5545</v>
      </c>
      <c r="C1209" s="2" t="s">
        <v>5546</v>
      </c>
      <c r="E1209" s="2" t="s">
        <v>399</v>
      </c>
      <c r="H1209" s="2" t="s">
        <v>5624</v>
      </c>
      <c r="I1209" s="2" t="s">
        <v>398</v>
      </c>
      <c r="K1209" s="2" t="s">
        <v>12</v>
      </c>
      <c r="L1209" s="2" t="s">
        <v>400</v>
      </c>
      <c r="M1209" s="2" t="s">
        <v>2706</v>
      </c>
      <c r="N1209" s="2" t="s">
        <v>2706</v>
      </c>
      <c r="O1209" s="2" t="s">
        <v>3068</v>
      </c>
      <c r="P1209" s="2" t="s">
        <v>3158</v>
      </c>
      <c r="Q1209" s="2" t="s">
        <v>5625</v>
      </c>
    </row>
    <row r="1210" spans="1:17" x14ac:dyDescent="0.25">
      <c r="A1210" s="2" t="s">
        <v>5626</v>
      </c>
      <c r="B1210" s="2" t="s">
        <v>5627</v>
      </c>
      <c r="C1210" s="2" t="s">
        <v>5628</v>
      </c>
      <c r="E1210" s="2" t="s">
        <v>5629</v>
      </c>
      <c r="H1210" s="2" t="s">
        <v>116</v>
      </c>
      <c r="I1210" s="2" t="s">
        <v>62</v>
      </c>
      <c r="K1210" s="2" t="s">
        <v>5470</v>
      </c>
      <c r="L1210" s="2" t="s">
        <v>116</v>
      </c>
      <c r="M1210" s="2" t="s">
        <v>2706</v>
      </c>
      <c r="N1210" s="2" t="s">
        <v>2706</v>
      </c>
      <c r="O1210" s="2" t="s">
        <v>5630</v>
      </c>
      <c r="P1210" s="2" t="s">
        <v>3011</v>
      </c>
      <c r="Q1210" s="2" t="s">
        <v>5631</v>
      </c>
    </row>
    <row r="1211" spans="1:17" x14ac:dyDescent="0.25">
      <c r="A1211" s="2" t="s">
        <v>5632</v>
      </c>
      <c r="B1211" s="2" t="s">
        <v>3223</v>
      </c>
      <c r="C1211" s="2" t="s">
        <v>3224</v>
      </c>
      <c r="E1211" s="2" t="s">
        <v>3225</v>
      </c>
      <c r="H1211" s="2" t="s">
        <v>3226</v>
      </c>
      <c r="I1211" s="2" t="s">
        <v>3227</v>
      </c>
      <c r="K1211" s="2" t="s">
        <v>147</v>
      </c>
      <c r="L1211" s="2" t="s">
        <v>5476</v>
      </c>
      <c r="M1211" s="2" t="s">
        <v>2706</v>
      </c>
      <c r="N1211" s="2" t="s">
        <v>2706</v>
      </c>
      <c r="O1211" s="2" t="s">
        <v>3009</v>
      </c>
      <c r="P1211" s="2" t="s">
        <v>3009</v>
      </c>
      <c r="Q1211" s="2" t="s">
        <v>5633</v>
      </c>
    </row>
    <row r="1212" spans="1:17" x14ac:dyDescent="0.25">
      <c r="A1212" s="2" t="s">
        <v>5634</v>
      </c>
      <c r="B1212" s="2" t="s">
        <v>5635</v>
      </c>
      <c r="C1212" s="2" t="s">
        <v>5636</v>
      </c>
      <c r="E1212" s="2" t="s">
        <v>5637</v>
      </c>
      <c r="H1212" s="2" t="s">
        <v>984</v>
      </c>
      <c r="I1212" s="2" t="s">
        <v>984</v>
      </c>
      <c r="K1212" s="2" t="s">
        <v>12</v>
      </c>
      <c r="L1212" s="2" t="s">
        <v>940</v>
      </c>
      <c r="M1212" s="2" t="s">
        <v>2706</v>
      </c>
      <c r="N1212" s="2" t="s">
        <v>2706</v>
      </c>
      <c r="O1212" s="2" t="s">
        <v>3023</v>
      </c>
      <c r="P1212" s="2" t="s">
        <v>3125</v>
      </c>
      <c r="Q1212" s="2" t="s">
        <v>5638</v>
      </c>
    </row>
    <row r="1213" spans="1:17" x14ac:dyDescent="0.25">
      <c r="A1213" s="2" t="s">
        <v>5639</v>
      </c>
      <c r="B1213" s="2" t="s">
        <v>5640</v>
      </c>
      <c r="C1213" s="2" t="s">
        <v>5641</v>
      </c>
      <c r="E1213" s="2" t="s">
        <v>5642</v>
      </c>
      <c r="H1213" s="2" t="s">
        <v>1083</v>
      </c>
      <c r="I1213" s="2" t="s">
        <v>62</v>
      </c>
      <c r="K1213" s="2" t="s">
        <v>5470</v>
      </c>
      <c r="L1213" s="2" t="s">
        <v>810</v>
      </c>
      <c r="M1213" s="2" t="s">
        <v>2706</v>
      </c>
      <c r="N1213" s="2" t="s">
        <v>2706</v>
      </c>
      <c r="O1213" s="2" t="s">
        <v>3116</v>
      </c>
      <c r="P1213" s="2" t="s">
        <v>3023</v>
      </c>
      <c r="Q1213" s="2" t="s">
        <v>5643</v>
      </c>
    </row>
    <row r="1214" spans="1:17" x14ac:dyDescent="0.25">
      <c r="A1214" s="2" t="s">
        <v>5644</v>
      </c>
      <c r="B1214" s="2" t="s">
        <v>5645</v>
      </c>
      <c r="C1214" s="2" t="s">
        <v>5646</v>
      </c>
      <c r="E1214" s="2" t="s">
        <v>5647</v>
      </c>
      <c r="H1214" s="2" t="s">
        <v>960</v>
      </c>
      <c r="I1214" s="2" t="s">
        <v>960</v>
      </c>
      <c r="K1214" s="2" t="s">
        <v>12</v>
      </c>
      <c r="L1214" s="2" t="s">
        <v>20</v>
      </c>
      <c r="M1214" s="2" t="s">
        <v>2706</v>
      </c>
      <c r="N1214" s="2" t="s">
        <v>2706</v>
      </c>
      <c r="O1214" s="2" t="s">
        <v>3068</v>
      </c>
      <c r="P1214" s="2" t="s">
        <v>3158</v>
      </c>
      <c r="Q1214" s="2" t="s">
        <v>5648</v>
      </c>
    </row>
    <row r="1215" spans="1:17" x14ac:dyDescent="0.25">
      <c r="A1215" s="2" t="s">
        <v>5649</v>
      </c>
      <c r="B1215" s="2" t="s">
        <v>5650</v>
      </c>
      <c r="C1215" s="2" t="s">
        <v>5651</v>
      </c>
      <c r="E1215" s="2" t="s">
        <v>5652</v>
      </c>
      <c r="H1215" s="2" t="s">
        <v>1127</v>
      </c>
      <c r="I1215" s="2" t="s">
        <v>1129</v>
      </c>
      <c r="K1215" s="2" t="s">
        <v>1129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5653</v>
      </c>
    </row>
    <row r="1216" spans="1:17" x14ac:dyDescent="0.25">
      <c r="A1216" s="2" t="s">
        <v>5654</v>
      </c>
      <c r="B1216" s="2" t="s">
        <v>149</v>
      </c>
      <c r="C1216" s="2" t="s">
        <v>150</v>
      </c>
      <c r="E1216" s="2" t="s">
        <v>5655</v>
      </c>
      <c r="H1216" s="2" t="s">
        <v>5656</v>
      </c>
      <c r="I1216" s="2" t="s">
        <v>5657</v>
      </c>
      <c r="K1216" s="2" t="s">
        <v>186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5658</v>
      </c>
    </row>
    <row r="1217" spans="1:17" x14ac:dyDescent="0.25">
      <c r="A1217" s="2" t="s">
        <v>5659</v>
      </c>
      <c r="B1217" s="2" t="s">
        <v>5660</v>
      </c>
      <c r="C1217" s="2" t="s">
        <v>5661</v>
      </c>
      <c r="E1217" s="2" t="s">
        <v>5662</v>
      </c>
      <c r="H1217" s="2" t="s">
        <v>1129</v>
      </c>
      <c r="I1217" s="2" t="s">
        <v>1129</v>
      </c>
      <c r="K1217" s="2" t="s">
        <v>1129</v>
      </c>
      <c r="L1217" s="2" t="s">
        <v>5476</v>
      </c>
      <c r="M1217" s="2" t="s">
        <v>2706</v>
      </c>
      <c r="N1217" s="2" t="s">
        <v>2706</v>
      </c>
      <c r="O1217" s="2" t="s">
        <v>3009</v>
      </c>
      <c r="P1217" s="2" t="s">
        <v>3009</v>
      </c>
      <c r="Q1217" s="2" t="s">
        <v>5663</v>
      </c>
    </row>
    <row r="1218" spans="1:17" x14ac:dyDescent="0.25">
      <c r="A1218" s="2" t="s">
        <v>5664</v>
      </c>
      <c r="B1218" s="2" t="s">
        <v>5511</v>
      </c>
      <c r="C1218" s="2" t="s">
        <v>5512</v>
      </c>
      <c r="E1218" s="2" t="s">
        <v>4564</v>
      </c>
      <c r="H1218" s="2" t="s">
        <v>5665</v>
      </c>
      <c r="I1218" s="2" t="s">
        <v>63</v>
      </c>
      <c r="K1218" s="2" t="s">
        <v>5470</v>
      </c>
      <c r="L1218" s="2" t="s">
        <v>64</v>
      </c>
      <c r="M1218" s="2" t="s">
        <v>2706</v>
      </c>
      <c r="N1218" s="2" t="s">
        <v>2706</v>
      </c>
      <c r="O1218" s="2" t="s">
        <v>3116</v>
      </c>
      <c r="P1218" s="2" t="s">
        <v>3023</v>
      </c>
      <c r="Q1218" s="2" t="s">
        <v>5666</v>
      </c>
    </row>
    <row r="1219" spans="1:17" x14ac:dyDescent="0.25">
      <c r="A1219" s="2" t="s">
        <v>5667</v>
      </c>
      <c r="B1219" s="2" t="s">
        <v>5668</v>
      </c>
      <c r="C1219" s="2" t="s">
        <v>5669</v>
      </c>
      <c r="E1219" s="2" t="s">
        <v>5670</v>
      </c>
      <c r="H1219" s="2" t="s">
        <v>5671</v>
      </c>
      <c r="I1219" s="2" t="s">
        <v>5672</v>
      </c>
      <c r="K1219" s="2" t="s">
        <v>186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5673</v>
      </c>
    </row>
    <row r="1220" spans="1:17" x14ac:dyDescent="0.25">
      <c r="A1220" s="2" t="s">
        <v>5674</v>
      </c>
      <c r="B1220" s="2" t="s">
        <v>1171</v>
      </c>
      <c r="C1220" s="2" t="s">
        <v>1172</v>
      </c>
      <c r="E1220" s="2" t="s">
        <v>5675</v>
      </c>
      <c r="H1220" s="2" t="s">
        <v>5676</v>
      </c>
      <c r="I1220" s="2" t="s">
        <v>530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5677</v>
      </c>
    </row>
    <row r="1221" spans="1:17" x14ac:dyDescent="0.25">
      <c r="A1221" s="2" t="s">
        <v>5678</v>
      </c>
      <c r="B1221" s="2" t="s">
        <v>1171</v>
      </c>
      <c r="C1221" s="2" t="s">
        <v>1172</v>
      </c>
      <c r="E1221" s="2" t="s">
        <v>5679</v>
      </c>
      <c r="H1221" s="2" t="s">
        <v>5680</v>
      </c>
      <c r="I1221" s="2" t="s">
        <v>1050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5681</v>
      </c>
    </row>
    <row r="1222" spans="1:17" x14ac:dyDescent="0.25">
      <c r="A1222" s="2" t="s">
        <v>5682</v>
      </c>
      <c r="B1222" s="2" t="s">
        <v>1171</v>
      </c>
      <c r="C1222" s="2" t="s">
        <v>1172</v>
      </c>
      <c r="E1222" s="2" t="s">
        <v>5683</v>
      </c>
      <c r="H1222" s="2" t="s">
        <v>5684</v>
      </c>
      <c r="I1222" s="2" t="s">
        <v>530</v>
      </c>
      <c r="K1222" s="2" t="s">
        <v>531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5685</v>
      </c>
    </row>
    <row r="1223" spans="1:17" x14ac:dyDescent="0.25">
      <c r="A1223" s="2" t="s">
        <v>5686</v>
      </c>
      <c r="B1223" s="2" t="s">
        <v>5687</v>
      </c>
      <c r="C1223" s="2" t="s">
        <v>5688</v>
      </c>
      <c r="E1223" s="2" t="s">
        <v>5689</v>
      </c>
      <c r="H1223" s="2" t="s">
        <v>186</v>
      </c>
      <c r="I1223" s="2" t="s">
        <v>5690</v>
      </c>
      <c r="K1223" s="2" t="s">
        <v>186</v>
      </c>
      <c r="L1223" s="2" t="s">
        <v>5476</v>
      </c>
      <c r="M1223" s="2" t="s">
        <v>2706</v>
      </c>
      <c r="N1223" s="2" t="s">
        <v>2706</v>
      </c>
      <c r="O1223" s="2" t="s">
        <v>3009</v>
      </c>
      <c r="P1223" s="2" t="s">
        <v>3009</v>
      </c>
      <c r="Q1223" s="2" t="s">
        <v>5691</v>
      </c>
    </row>
    <row r="1224" spans="1:17" x14ac:dyDescent="0.25">
      <c r="A1224" s="2" t="s">
        <v>5692</v>
      </c>
      <c r="B1224" s="2" t="s">
        <v>4883</v>
      </c>
      <c r="C1224" s="2" t="s">
        <v>4884</v>
      </c>
      <c r="E1224" s="2" t="s">
        <v>5693</v>
      </c>
      <c r="H1224" s="2" t="s">
        <v>784</v>
      </c>
      <c r="I1224" s="2" t="s">
        <v>784</v>
      </c>
      <c r="K1224" s="2" t="s">
        <v>12</v>
      </c>
      <c r="L1224" s="2" t="s">
        <v>251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5694</v>
      </c>
    </row>
    <row r="1225" spans="1:17" x14ac:dyDescent="0.25">
      <c r="A1225" s="2" t="s">
        <v>5695</v>
      </c>
      <c r="B1225" s="2" t="s">
        <v>5696</v>
      </c>
      <c r="C1225" s="2" t="s">
        <v>5697</v>
      </c>
      <c r="E1225" s="2" t="s">
        <v>5698</v>
      </c>
      <c r="H1225" s="2" t="s">
        <v>784</v>
      </c>
      <c r="I1225" s="2" t="s">
        <v>784</v>
      </c>
      <c r="K1225" s="2" t="s">
        <v>12</v>
      </c>
      <c r="L1225" s="2" t="s">
        <v>2689</v>
      </c>
      <c r="M1225" s="2" t="s">
        <v>2706</v>
      </c>
      <c r="N1225" s="2" t="s">
        <v>2706</v>
      </c>
      <c r="O1225" s="2" t="s">
        <v>3068</v>
      </c>
      <c r="P1225" s="2" t="s">
        <v>3158</v>
      </c>
      <c r="Q1225" s="2" t="s">
        <v>5699</v>
      </c>
    </row>
    <row r="1226" spans="1:17" x14ac:dyDescent="0.25">
      <c r="A1226" s="2" t="s">
        <v>5700</v>
      </c>
      <c r="B1226" s="2" t="s">
        <v>5701</v>
      </c>
      <c r="C1226" s="2" t="s">
        <v>5702</v>
      </c>
      <c r="E1226" s="2" t="s">
        <v>4029</v>
      </c>
      <c r="H1226" s="2" t="s">
        <v>404</v>
      </c>
      <c r="I1226" s="2" t="s">
        <v>404</v>
      </c>
      <c r="K1226" s="2" t="s">
        <v>12</v>
      </c>
      <c r="L1226" s="2" t="s">
        <v>404</v>
      </c>
      <c r="M1226" s="2" t="s">
        <v>2706</v>
      </c>
      <c r="N1226" s="2" t="s">
        <v>2706</v>
      </c>
      <c r="O1226" s="2" t="s">
        <v>3158</v>
      </c>
      <c r="P1226" s="2" t="s">
        <v>3116</v>
      </c>
      <c r="Q1226" s="2" t="s">
        <v>5703</v>
      </c>
    </row>
    <row r="1227" spans="1:17" x14ac:dyDescent="0.25">
      <c r="A1227" s="2" t="s">
        <v>5704</v>
      </c>
      <c r="B1227" s="2" t="s">
        <v>5705</v>
      </c>
      <c r="C1227" s="2" t="s">
        <v>5706</v>
      </c>
      <c r="E1227" s="2" t="s">
        <v>5707</v>
      </c>
      <c r="H1227" s="2" t="s">
        <v>5708</v>
      </c>
      <c r="I1227" s="2" t="s">
        <v>5708</v>
      </c>
      <c r="K1227" s="2" t="s">
        <v>12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5709</v>
      </c>
    </row>
    <row r="1228" spans="1:17" x14ac:dyDescent="0.25">
      <c r="A1228" s="2" t="s">
        <v>5710</v>
      </c>
      <c r="B1228" s="2" t="s">
        <v>5711</v>
      </c>
      <c r="C1228" s="2" t="s">
        <v>5712</v>
      </c>
      <c r="E1228" s="2" t="s">
        <v>5713</v>
      </c>
      <c r="H1228" s="2" t="s">
        <v>173</v>
      </c>
      <c r="I1228" s="2" t="s">
        <v>5714</v>
      </c>
      <c r="K1228" s="2" t="s">
        <v>310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5715</v>
      </c>
    </row>
    <row r="1229" spans="1:17" x14ac:dyDescent="0.25">
      <c r="A1229" s="2" t="s">
        <v>5716</v>
      </c>
      <c r="B1229" s="2" t="s">
        <v>149</v>
      </c>
      <c r="C1229" s="2" t="s">
        <v>150</v>
      </c>
      <c r="E1229" s="2" t="s">
        <v>5717</v>
      </c>
      <c r="H1229" s="2" t="s">
        <v>5718</v>
      </c>
      <c r="I1229" s="2" t="s">
        <v>730</v>
      </c>
      <c r="K1229" s="2" t="s">
        <v>12</v>
      </c>
      <c r="L1229" s="2" t="s">
        <v>5476</v>
      </c>
      <c r="M1229" s="2" t="s">
        <v>2706</v>
      </c>
      <c r="N1229" s="2" t="s">
        <v>2706</v>
      </c>
      <c r="O1229" s="2" t="s">
        <v>3009</v>
      </c>
      <c r="P1229" s="2" t="s">
        <v>3009</v>
      </c>
      <c r="Q1229" s="2" t="s">
        <v>5719</v>
      </c>
    </row>
    <row r="1230" spans="1:17" x14ac:dyDescent="0.25">
      <c r="A1230" s="2" t="s">
        <v>5720</v>
      </c>
      <c r="B1230" s="2" t="s">
        <v>919</v>
      </c>
      <c r="C1230" s="2" t="s">
        <v>920</v>
      </c>
      <c r="E1230" s="2" t="s">
        <v>5721</v>
      </c>
      <c r="H1230" s="2" t="s">
        <v>917</v>
      </c>
      <c r="I1230" s="2" t="s">
        <v>917</v>
      </c>
      <c r="K1230" s="2" t="s">
        <v>12</v>
      </c>
      <c r="L1230" s="2" t="s">
        <v>346</v>
      </c>
      <c r="M1230" s="2" t="s">
        <v>2706</v>
      </c>
      <c r="N1230" s="2" t="s">
        <v>2706</v>
      </c>
      <c r="O1230" s="2" t="s">
        <v>3023</v>
      </c>
      <c r="P1230" s="2" t="s">
        <v>3125</v>
      </c>
      <c r="Q1230" s="2" t="s">
        <v>5722</v>
      </c>
    </row>
    <row r="1231" spans="1:17" x14ac:dyDescent="0.25">
      <c r="A1231" s="2" t="s">
        <v>5723</v>
      </c>
      <c r="B1231" s="2" t="s">
        <v>5724</v>
      </c>
      <c r="C1231" s="2" t="s">
        <v>5725</v>
      </c>
      <c r="E1231" s="2" t="s">
        <v>5726</v>
      </c>
      <c r="H1231" s="2" t="s">
        <v>5727</v>
      </c>
      <c r="I1231" s="2" t="s">
        <v>5728</v>
      </c>
      <c r="K1231" s="2" t="s">
        <v>126</v>
      </c>
      <c r="L1231" s="2" t="s">
        <v>5476</v>
      </c>
      <c r="M1231" s="2" t="s">
        <v>2706</v>
      </c>
      <c r="N1231" s="2" t="s">
        <v>2706</v>
      </c>
      <c r="O1231" s="2" t="s">
        <v>3009</v>
      </c>
      <c r="P1231" s="2" t="s">
        <v>3009</v>
      </c>
      <c r="Q1231" s="2" t="s">
        <v>5729</v>
      </c>
    </row>
    <row r="1232" spans="1:17" x14ac:dyDescent="0.25">
      <c r="A1232" s="2" t="s">
        <v>5730</v>
      </c>
      <c r="B1232" s="2" t="s">
        <v>604</v>
      </c>
      <c r="C1232" s="2" t="s">
        <v>605</v>
      </c>
      <c r="E1232" s="2" t="s">
        <v>5731</v>
      </c>
      <c r="H1232" s="2" t="s">
        <v>5732</v>
      </c>
      <c r="I1232" s="2" t="s">
        <v>5733</v>
      </c>
      <c r="K1232" s="2" t="s">
        <v>220</v>
      </c>
      <c r="L1232" s="2" t="s">
        <v>5476</v>
      </c>
      <c r="M1232" s="2" t="s">
        <v>2706</v>
      </c>
      <c r="N1232" s="2" t="s">
        <v>2706</v>
      </c>
      <c r="O1232" s="2" t="s">
        <v>3009</v>
      </c>
      <c r="P1232" s="2" t="s">
        <v>3009</v>
      </c>
      <c r="Q1232" s="2" t="s">
        <v>5734</v>
      </c>
    </row>
    <row r="1233" spans="1:17" x14ac:dyDescent="0.25">
      <c r="A1233" s="2" t="s">
        <v>5735</v>
      </c>
      <c r="B1233" s="2" t="s">
        <v>5736</v>
      </c>
      <c r="C1233" s="2" t="s">
        <v>5737</v>
      </c>
      <c r="E1233" s="2" t="s">
        <v>5738</v>
      </c>
      <c r="H1233" s="2" t="s">
        <v>195</v>
      </c>
      <c r="I1233" s="2" t="s">
        <v>1750</v>
      </c>
      <c r="K1233" s="2" t="s">
        <v>197</v>
      </c>
      <c r="L1233" s="2" t="s">
        <v>5476</v>
      </c>
      <c r="M1233" s="2" t="s">
        <v>2706</v>
      </c>
      <c r="N1233" s="2" t="s">
        <v>2706</v>
      </c>
      <c r="O1233" s="2" t="s">
        <v>3009</v>
      </c>
      <c r="P1233" s="2" t="s">
        <v>3009</v>
      </c>
      <c r="Q1233" s="2" t="s">
        <v>5739</v>
      </c>
    </row>
    <row r="1234" spans="1:17" x14ac:dyDescent="0.25">
      <c r="A1234" s="2" t="s">
        <v>5740</v>
      </c>
      <c r="B1234" s="2" t="s">
        <v>156</v>
      </c>
      <c r="C1234" s="2" t="s">
        <v>157</v>
      </c>
      <c r="E1234" s="2" t="s">
        <v>5741</v>
      </c>
      <c r="H1234" s="2" t="s">
        <v>5742</v>
      </c>
      <c r="I1234" s="2" t="s">
        <v>220</v>
      </c>
      <c r="K1234" s="2" t="s">
        <v>220</v>
      </c>
      <c r="L1234" s="2" t="s">
        <v>5476</v>
      </c>
      <c r="M1234" s="2" t="s">
        <v>2706</v>
      </c>
      <c r="N1234" s="2" t="s">
        <v>2706</v>
      </c>
      <c r="O1234" s="2" t="s">
        <v>3009</v>
      </c>
      <c r="P1234" s="2" t="s">
        <v>3009</v>
      </c>
      <c r="Q1234" s="2" t="s">
        <v>5743</v>
      </c>
    </row>
    <row r="1235" spans="1:17" x14ac:dyDescent="0.25">
      <c r="A1235" s="2" t="s">
        <v>5744</v>
      </c>
      <c r="B1235" s="2" t="s">
        <v>1910</v>
      </c>
      <c r="C1235" s="2" t="s">
        <v>1911</v>
      </c>
      <c r="E1235" s="2" t="s">
        <v>5745</v>
      </c>
      <c r="H1235" s="2" t="s">
        <v>3291</v>
      </c>
      <c r="I1235" s="2" t="s">
        <v>3291</v>
      </c>
      <c r="K1235" s="2" t="s">
        <v>12</v>
      </c>
      <c r="L1235" s="2" t="s">
        <v>5746</v>
      </c>
      <c r="M1235" s="2" t="s">
        <v>2706</v>
      </c>
      <c r="N1235" s="2" t="s">
        <v>2706</v>
      </c>
      <c r="O1235" s="2" t="s">
        <v>3068</v>
      </c>
      <c r="P1235" s="2" t="s">
        <v>3158</v>
      </c>
      <c r="Q1235" s="2" t="s">
        <v>5747</v>
      </c>
    </row>
    <row r="1236" spans="1:17" x14ac:dyDescent="0.25">
      <c r="A1236" s="2" t="s">
        <v>5748</v>
      </c>
      <c r="B1236" s="2" t="s">
        <v>5749</v>
      </c>
      <c r="C1236" s="2" t="s">
        <v>5750</v>
      </c>
      <c r="E1236" s="2" t="s">
        <v>5751</v>
      </c>
      <c r="H1236" s="2" t="s">
        <v>5752</v>
      </c>
      <c r="I1236" s="2" t="s">
        <v>147</v>
      </c>
      <c r="K1236" s="2" t="s">
        <v>147</v>
      </c>
      <c r="L1236" s="2" t="s">
        <v>5476</v>
      </c>
      <c r="M1236" s="2" t="s">
        <v>2706</v>
      </c>
      <c r="N1236" s="2" t="s">
        <v>2706</v>
      </c>
      <c r="O1236" s="2" t="s">
        <v>3009</v>
      </c>
      <c r="P1236" s="2" t="s">
        <v>3009</v>
      </c>
      <c r="Q1236" s="2" t="s">
        <v>5753</v>
      </c>
    </row>
    <row r="1237" spans="1:17" x14ac:dyDescent="0.25">
      <c r="A1237" s="2" t="s">
        <v>5754</v>
      </c>
      <c r="B1237" s="2" t="s">
        <v>1910</v>
      </c>
      <c r="C1237" s="2" t="s">
        <v>1911</v>
      </c>
      <c r="E1237" s="2" t="s">
        <v>5745</v>
      </c>
      <c r="H1237" s="2" t="s">
        <v>3291</v>
      </c>
      <c r="I1237" s="2" t="s">
        <v>3291</v>
      </c>
      <c r="K1237" s="2" t="s">
        <v>12</v>
      </c>
      <c r="L1237" s="2" t="s">
        <v>5746</v>
      </c>
      <c r="M1237" s="2" t="s">
        <v>2706</v>
      </c>
      <c r="N1237" s="2" t="s">
        <v>2706</v>
      </c>
      <c r="O1237" s="2" t="s">
        <v>3068</v>
      </c>
      <c r="P1237" s="2" t="s">
        <v>3158</v>
      </c>
      <c r="Q1237" s="2" t="s">
        <v>5747</v>
      </c>
    </row>
    <row r="1238" spans="1:17" x14ac:dyDescent="0.25">
      <c r="A1238" s="2" t="s">
        <v>5755</v>
      </c>
      <c r="B1238" s="2" t="s">
        <v>5756</v>
      </c>
      <c r="C1238" s="2" t="s">
        <v>5757</v>
      </c>
      <c r="E1238" s="2" t="s">
        <v>5758</v>
      </c>
      <c r="H1238" s="2" t="s">
        <v>1048</v>
      </c>
      <c r="I1238" s="2" t="s">
        <v>1050</v>
      </c>
      <c r="K1238" s="2" t="s">
        <v>531</v>
      </c>
      <c r="L1238" s="2" t="s">
        <v>5476</v>
      </c>
      <c r="M1238" s="2" t="s">
        <v>2706</v>
      </c>
      <c r="N1238" s="2" t="s">
        <v>2706</v>
      </c>
      <c r="O1238" s="2" t="s">
        <v>3009</v>
      </c>
      <c r="P1238" s="2" t="s">
        <v>3009</v>
      </c>
      <c r="Q1238" s="2" t="s">
        <v>5759</v>
      </c>
    </row>
    <row r="1239" spans="1:17" x14ac:dyDescent="0.25">
      <c r="A1239" s="2" t="s">
        <v>5760</v>
      </c>
      <c r="B1239" s="2" t="s">
        <v>2211</v>
      </c>
      <c r="C1239" s="2" t="s">
        <v>5263</v>
      </c>
      <c r="E1239" s="2" t="s">
        <v>5761</v>
      </c>
      <c r="H1239" s="2" t="s">
        <v>5762</v>
      </c>
      <c r="I1239" s="2" t="s">
        <v>5763</v>
      </c>
      <c r="K1239" s="2" t="s">
        <v>126</v>
      </c>
      <c r="L1239" s="2" t="s">
        <v>5476</v>
      </c>
      <c r="M1239" s="2" t="s">
        <v>2706</v>
      </c>
      <c r="N1239" s="2" t="s">
        <v>2706</v>
      </c>
      <c r="O1239" s="2" t="s">
        <v>3009</v>
      </c>
      <c r="P1239" s="2" t="s">
        <v>3009</v>
      </c>
      <c r="Q1239" s="2" t="s">
        <v>5764</v>
      </c>
    </row>
    <row r="1240" spans="1:17" x14ac:dyDescent="0.25">
      <c r="A1240" s="2" t="s">
        <v>5765</v>
      </c>
      <c r="B1240" s="2" t="s">
        <v>4460</v>
      </c>
      <c r="C1240" s="2" t="s">
        <v>4461</v>
      </c>
      <c r="E1240" s="2" t="s">
        <v>5766</v>
      </c>
      <c r="H1240" s="2" t="s">
        <v>753</v>
      </c>
      <c r="I1240" s="2" t="s">
        <v>5767</v>
      </c>
      <c r="K1240" s="2" t="s">
        <v>753</v>
      </c>
      <c r="L1240" s="2" t="s">
        <v>5476</v>
      </c>
      <c r="M1240" s="2" t="s">
        <v>2706</v>
      </c>
      <c r="N1240" s="2" t="s">
        <v>2706</v>
      </c>
      <c r="O1240" s="2" t="s">
        <v>3009</v>
      </c>
      <c r="P1240" s="2" t="s">
        <v>3009</v>
      </c>
      <c r="Q1240" s="2" t="s">
        <v>5768</v>
      </c>
    </row>
    <row r="1241" spans="1:17" x14ac:dyDescent="0.25">
      <c r="A1241" s="2" t="s">
        <v>5769</v>
      </c>
      <c r="B1241" s="2" t="s">
        <v>5770</v>
      </c>
      <c r="C1241" s="2" t="s">
        <v>5771</v>
      </c>
      <c r="E1241" s="2" t="s">
        <v>5772</v>
      </c>
      <c r="H1241" s="2" t="s">
        <v>810</v>
      </c>
      <c r="I1241" s="2" t="s">
        <v>62</v>
      </c>
      <c r="K1241" s="2" t="s">
        <v>5470</v>
      </c>
      <c r="L1241" s="2" t="s">
        <v>810</v>
      </c>
      <c r="M1241" s="2" t="s">
        <v>2706</v>
      </c>
      <c r="N1241" s="2" t="s">
        <v>2706</v>
      </c>
      <c r="O1241" s="2" t="s">
        <v>3116</v>
      </c>
      <c r="P1241" s="2" t="s">
        <v>3023</v>
      </c>
      <c r="Q1241" s="2" t="s">
        <v>5773</v>
      </c>
    </row>
    <row r="1242" spans="1:17" x14ac:dyDescent="0.25">
      <c r="A1242" s="2" t="s">
        <v>5774</v>
      </c>
      <c r="B1242" s="2" t="s">
        <v>604</v>
      </c>
      <c r="C1242" s="2" t="s">
        <v>605</v>
      </c>
      <c r="E1242" s="2" t="s">
        <v>5775</v>
      </c>
      <c r="H1242" s="2" t="s">
        <v>5776</v>
      </c>
      <c r="I1242" s="2" t="s">
        <v>243</v>
      </c>
      <c r="K1242" s="2" t="s">
        <v>243</v>
      </c>
      <c r="L1242" s="2" t="s">
        <v>5476</v>
      </c>
      <c r="M1242" s="2" t="s">
        <v>2706</v>
      </c>
      <c r="N1242" s="2" t="s">
        <v>2706</v>
      </c>
      <c r="O1242" s="2" t="s">
        <v>3009</v>
      </c>
      <c r="P1242" s="2" t="s">
        <v>3009</v>
      </c>
      <c r="Q1242" s="2" t="s">
        <v>5777</v>
      </c>
    </row>
    <row r="1243" spans="1:17" x14ac:dyDescent="0.25">
      <c r="A1243" s="2" t="s">
        <v>5778</v>
      </c>
      <c r="B1243" s="2" t="s">
        <v>604</v>
      </c>
      <c r="C1243" s="2" t="s">
        <v>605</v>
      </c>
      <c r="E1243" s="2" t="s">
        <v>5779</v>
      </c>
      <c r="H1243" s="2" t="s">
        <v>5780</v>
      </c>
      <c r="I1243" s="2" t="s">
        <v>5781</v>
      </c>
      <c r="K1243" s="2" t="s">
        <v>1307</v>
      </c>
      <c r="L1243" s="2" t="s">
        <v>5476</v>
      </c>
      <c r="M1243" s="2" t="s">
        <v>2706</v>
      </c>
      <c r="N1243" s="2" t="s">
        <v>2706</v>
      </c>
      <c r="O1243" s="2" t="s">
        <v>3009</v>
      </c>
      <c r="P1243" s="2" t="s">
        <v>3009</v>
      </c>
      <c r="Q1243" s="2" t="s">
        <v>5782</v>
      </c>
    </row>
    <row r="1244" spans="1:17" x14ac:dyDescent="0.25">
      <c r="A1244" s="2" t="s">
        <v>5783</v>
      </c>
      <c r="B1244" s="2" t="s">
        <v>3917</v>
      </c>
      <c r="C1244" s="2" t="s">
        <v>3918</v>
      </c>
      <c r="E1244" s="2" t="s">
        <v>3724</v>
      </c>
      <c r="H1244" s="2" t="s">
        <v>5784</v>
      </c>
      <c r="I1244" s="2" t="s">
        <v>3726</v>
      </c>
      <c r="K1244" s="2" t="s">
        <v>1015</v>
      </c>
      <c r="L1244" s="2" t="s">
        <v>5476</v>
      </c>
      <c r="M1244" s="2" t="s">
        <v>2706</v>
      </c>
      <c r="N1244" s="2" t="s">
        <v>2706</v>
      </c>
      <c r="O1244" s="2" t="s">
        <v>3009</v>
      </c>
      <c r="P1244" s="2" t="s">
        <v>3009</v>
      </c>
      <c r="Q1244" s="2" t="s">
        <v>5785</v>
      </c>
    </row>
    <row r="1245" spans="1:17" x14ac:dyDescent="0.25">
      <c r="A1245" s="2" t="s">
        <v>5786</v>
      </c>
      <c r="B1245" s="2" t="s">
        <v>99</v>
      </c>
      <c r="C1245" s="2" t="s">
        <v>100</v>
      </c>
      <c r="E1245" s="2" t="s">
        <v>5787</v>
      </c>
      <c r="H1245" s="2" t="s">
        <v>5788</v>
      </c>
      <c r="I1245" s="2" t="s">
        <v>108</v>
      </c>
      <c r="K1245" s="2" t="s">
        <v>12</v>
      </c>
      <c r="L1245" s="2" t="s">
        <v>108</v>
      </c>
      <c r="M1245" s="2" t="s">
        <v>2706</v>
      </c>
      <c r="N1245" s="2" t="s">
        <v>2706</v>
      </c>
      <c r="O1245" s="2" t="s">
        <v>3158</v>
      </c>
      <c r="P1245" s="2" t="s">
        <v>3116</v>
      </c>
      <c r="Q1245" s="2" t="s">
        <v>5789</v>
      </c>
    </row>
    <row r="1246" spans="1:17" x14ac:dyDescent="0.25">
      <c r="A1246" s="4" t="s">
        <v>5790</v>
      </c>
      <c r="B1246" s="4" t="s">
        <v>5791</v>
      </c>
      <c r="C1246" s="4" t="s">
        <v>5792</v>
      </c>
      <c r="D1246" s="4"/>
      <c r="E1246" s="4" t="s">
        <v>3301</v>
      </c>
      <c r="G1246" s="4"/>
      <c r="H1246" s="4" t="s">
        <v>3303</v>
      </c>
      <c r="I1246" s="4" t="s">
        <v>3303</v>
      </c>
      <c r="J1246" s="4"/>
      <c r="K1246" s="4" t="s">
        <v>12</v>
      </c>
      <c r="L1246" s="4" t="s">
        <v>1063</v>
      </c>
      <c r="M1246" s="4" t="s">
        <v>2706</v>
      </c>
      <c r="N1246" s="4" t="s">
        <v>2706</v>
      </c>
      <c r="O1246" s="4" t="s">
        <v>3011</v>
      </c>
      <c r="P1246" s="4" t="s">
        <v>3011</v>
      </c>
      <c r="Q1246" s="4" t="s">
        <v>5793</v>
      </c>
    </row>
    <row r="1247" spans="1:17" x14ac:dyDescent="0.25">
      <c r="A1247" s="4" t="s">
        <v>5794</v>
      </c>
      <c r="B1247" s="4" t="s">
        <v>156</v>
      </c>
      <c r="C1247" s="4" t="s">
        <v>157</v>
      </c>
      <c r="D1247" s="4"/>
      <c r="E1247" s="4" t="s">
        <v>1930</v>
      </c>
      <c r="G1247" s="4"/>
      <c r="H1247" s="4" t="s">
        <v>5795</v>
      </c>
      <c r="I1247" s="4" t="s">
        <v>1015</v>
      </c>
      <c r="J1247" s="4"/>
      <c r="K1247" s="4" t="s">
        <v>1015</v>
      </c>
      <c r="L1247" s="4" t="s">
        <v>5476</v>
      </c>
      <c r="M1247" s="4" t="s">
        <v>2706</v>
      </c>
      <c r="N1247" s="4" t="s">
        <v>2706</v>
      </c>
      <c r="O1247" s="4" t="s">
        <v>3009</v>
      </c>
      <c r="P1247" s="4" t="s">
        <v>3009</v>
      </c>
      <c r="Q1247" s="4" t="s">
        <v>5796</v>
      </c>
    </row>
    <row r="1248" spans="1:17" x14ac:dyDescent="0.25">
      <c r="A1248" s="4" t="s">
        <v>5797</v>
      </c>
      <c r="B1248" s="4" t="s">
        <v>5798</v>
      </c>
      <c r="C1248" s="4" t="s">
        <v>5799</v>
      </c>
      <c r="D1248" s="4"/>
      <c r="E1248" s="4" t="s">
        <v>5800</v>
      </c>
      <c r="G1248" s="4"/>
      <c r="H1248" s="4" t="s">
        <v>173</v>
      </c>
      <c r="I1248" s="4" t="s">
        <v>2245</v>
      </c>
      <c r="J1248" s="4"/>
      <c r="K1248" s="4" t="s">
        <v>169</v>
      </c>
      <c r="L1248" s="4" t="s">
        <v>5476</v>
      </c>
      <c r="M1248" s="4" t="s">
        <v>2706</v>
      </c>
      <c r="N1248" s="4" t="s">
        <v>2706</v>
      </c>
      <c r="O1248" s="4" t="s">
        <v>3009</v>
      </c>
      <c r="P1248" s="4" t="s">
        <v>3009</v>
      </c>
      <c r="Q1248" s="4" t="s">
        <v>5801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2026-10-08T09:21:00Z</dcterms:modified>
</cp:coreProperties>
</file>