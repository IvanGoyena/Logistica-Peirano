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G:\Mi unidad\Sistema_Logistico_Peirano\data\"/>
    </mc:Choice>
  </mc:AlternateContent>
  <xr:revisionPtr revIDLastSave="0" documentId="13_ncr:1_{B858F18A-1A47-432C-8F07-B229A2C2F996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Clientes'!$A$1:$N$1188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P305" i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<sst xmlns="http://schemas.openxmlformats.org/spreadsheetml/2006/main" count="14877" uniqueCount="5523">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</sst>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188" tableType="queryTable" totalsRowShown="0">
  <autoFilter ref="A1:Q1188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188"/>
  <sheetViews>
    <sheetView tabSelected="1" topLeftCell="A904" zoomScaleNormal="100" workbookViewId="0">
      <selection activeCell="A924" sqref="A924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3125</v>
      </c>
      <c r="P67" s="2" t="str">
        <f>+VLOOKUP(Maestro_Clientes[[#This Row],[Entrega]],Preparacion!A:B,2,0)</f>
        <v>MARTES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3155</v>
      </c>
      <c r="P356" s="2" t="str">
        <f>+VLOOKUP(Maestro_Clientes[[#This Row],[Entrega]],Preparacion!A:B,2,0)</f>
        <v>con turno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4" t="s">
        <v>5519</v>
      </c>
      <c r="B1188" s="4" t="s">
        <v>149</v>
      </c>
      <c r="C1188" s="4" t="s">
        <v>150</v>
      </c>
      <c r="D1188" s="4"/>
      <c r="E1188" s="4" t="s">
        <v>5520</v>
      </c>
      <c r="G1188" s="4"/>
      <c r="H1188" s="4" t="s">
        <v>5521</v>
      </c>
      <c r="I1188" s="4" t="s">
        <v>2373</v>
      </c>
      <c r="J1188" s="4"/>
      <c r="K1188" s="4" t="s">
        <v>126</v>
      </c>
      <c r="L1188" s="4" t="s">
        <v>5476</v>
      </c>
      <c r="M1188" s="4" t="s">
        <v>2706</v>
      </c>
      <c r="N1188" s="4" t="s">
        <v>2706</v>
      </c>
      <c r="O1188" s="4" t="s">
        <v>3009</v>
      </c>
      <c r="P1188" s="4" t="s">
        <v>3009</v>
      </c>
      <c r="Q1188" s="4" t="s">
        <v>5522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2026-08-08T11:03:19Z</dcterms:modified>
</cp:coreProperties>
</file>