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_Logistico_Peirano\Data_Maestros\"/>
    </mc:Choice>
  </mc:AlternateContent>
  <xr:revisionPtr revIDLastSave="0" documentId="13_ncr:1_{40FB7230-2A9E-4AF0-8858-B3B2E69FD96C}" xr6:coauthVersionLast="47" xr6:coauthVersionMax="47" xr10:uidLastSave="{00000000-0000-0000-0000-000000000000}"/>
  <bookViews>
    <workbookView xWindow="20370" yWindow="-120" windowWidth="29040" windowHeight="16440" xr2:uid="{3053AE19-EC40-425C-881D-82798D21D1DC}"/>
  </bookViews>
  <sheets>
    <sheet name="Hoja1" sheetId="1" r:id="rId1"/>
    <sheet name="Agrupacion" sheetId="2" r:id="rId2"/>
  </sheets>
  <definedNames>
    <definedName name="_xlnm._FilterDatabase" localSheetId="1" hidden="1">Agrupacion!$A$1:$C$63</definedName>
    <definedName name="_xlnm._FilterDatabase" localSheetId="0" hidden="1">Hoja1!$A$1:$M$772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5" i="1" l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7" i="1"/>
  <c r="H746" i="1"/>
  <c r="H744" i="1"/>
  <c r="H743" i="1"/>
  <c r="H742" i="1"/>
  <c r="H380" i="1"/>
  <c r="H224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7" i="1"/>
  <c r="I746" i="1"/>
  <c r="I744" i="1"/>
  <c r="I743" i="1"/>
  <c r="I742" i="1"/>
  <c r="I380" i="1"/>
  <c r="I224" i="1"/>
  <c r="I685" i="1"/>
  <c r="I258" i="1"/>
  <c r="I730" i="1"/>
  <c r="I552" i="1"/>
  <c r="I189" i="1"/>
  <c r="I371" i="1"/>
  <c r="I392" i="1"/>
  <c r="I79" i="1"/>
  <c r="I721" i="1"/>
  <c r="I369" i="1"/>
  <c r="I621" i="1"/>
  <c r="I325" i="1"/>
  <c r="I612" i="1"/>
  <c r="I700" i="1"/>
  <c r="I699" i="1"/>
  <c r="I723" i="1"/>
  <c r="I164" i="1"/>
  <c r="I507" i="1"/>
  <c r="I197" i="1"/>
  <c r="I687" i="1"/>
  <c r="I359" i="1"/>
  <c r="I627" i="1"/>
  <c r="I609" i="1"/>
  <c r="I534" i="1"/>
  <c r="I351" i="1"/>
  <c r="I637" i="1"/>
  <c r="I485" i="1"/>
  <c r="I205" i="1"/>
  <c r="I257" i="1"/>
  <c r="I300" i="1"/>
  <c r="I452" i="1"/>
  <c r="I15" i="1"/>
  <c r="I95" i="1"/>
  <c r="I90" i="1"/>
  <c r="I215" i="1"/>
  <c r="I262" i="1"/>
  <c r="I46" i="1"/>
  <c r="I165" i="1"/>
  <c r="I538" i="1"/>
  <c r="I39" i="1"/>
  <c r="I402" i="1"/>
  <c r="I397" i="1"/>
  <c r="I332" i="1"/>
  <c r="I703" i="1"/>
  <c r="I307" i="1"/>
  <c r="I616" i="1"/>
  <c r="I689" i="1"/>
  <c r="I563" i="1"/>
  <c r="I379" i="1"/>
  <c r="I677" i="1"/>
  <c r="I589" i="1"/>
  <c r="I47" i="1"/>
  <c r="I717" i="1"/>
  <c r="I566" i="1"/>
  <c r="I673" i="1"/>
  <c r="I658" i="1"/>
  <c r="I160" i="1"/>
  <c r="I440" i="1"/>
  <c r="I683" i="1"/>
  <c r="I549" i="1"/>
  <c r="I624" i="1"/>
  <c r="I503" i="1"/>
  <c r="I389" i="1"/>
  <c r="I123" i="1"/>
  <c r="I505" i="1"/>
  <c r="I124" i="1"/>
  <c r="I532" i="1"/>
  <c r="I288" i="1"/>
  <c r="I304" i="1"/>
  <c r="I384" i="1"/>
  <c r="I256" i="1"/>
  <c r="I158" i="1"/>
  <c r="I51" i="1"/>
  <c r="I316" i="1"/>
  <c r="I561" i="1"/>
  <c r="I76" i="1"/>
  <c r="I198" i="1"/>
  <c r="I66" i="1"/>
  <c r="I21" i="1"/>
  <c r="I252" i="1"/>
  <c r="I244" i="1"/>
  <c r="I319" i="1"/>
  <c r="I63" i="1"/>
  <c r="I82" i="1"/>
  <c r="I45" i="1"/>
  <c r="I167" i="1"/>
  <c r="I317" i="1"/>
  <c r="I117" i="1"/>
  <c r="I344" i="1"/>
  <c r="I172" i="1"/>
  <c r="I242" i="1"/>
  <c r="I345" i="1"/>
  <c r="I396" i="1"/>
  <c r="I372" i="1"/>
  <c r="I67" i="1"/>
  <c r="I140" i="1"/>
  <c r="I75" i="1"/>
  <c r="I453" i="1"/>
  <c r="I191" i="1"/>
  <c r="I72" i="1"/>
  <c r="I109" i="1"/>
  <c r="I150" i="1"/>
  <c r="I151" i="1"/>
  <c r="I173" i="1"/>
  <c r="I208" i="1"/>
  <c r="I253" i="1"/>
  <c r="I401" i="1"/>
  <c r="I270" i="1"/>
  <c r="I337" i="1"/>
  <c r="I43" i="1"/>
  <c r="I413" i="1"/>
  <c r="I480" i="1"/>
  <c r="I96" i="1"/>
  <c r="I3" i="1"/>
  <c r="I403" i="1"/>
  <c r="I216" i="1"/>
  <c r="I579" i="1"/>
  <c r="I112" i="1"/>
  <c r="I663" i="1"/>
  <c r="I524" i="1"/>
  <c r="I69" i="1"/>
  <c r="I600" i="1"/>
  <c r="I551" i="1"/>
  <c r="I19" i="1"/>
  <c r="I714" i="1"/>
  <c r="I726" i="1"/>
  <c r="I639" i="1"/>
  <c r="I728" i="1"/>
  <c r="I631" i="1"/>
  <c r="I705" i="1"/>
  <c r="I558" i="1"/>
  <c r="I488" i="1"/>
  <c r="I650" i="1"/>
  <c r="I642" i="1"/>
  <c r="I737" i="1"/>
  <c r="I280" i="1"/>
  <c r="I638" i="1"/>
  <c r="I502" i="1"/>
  <c r="I510" i="1"/>
  <c r="I539" i="1"/>
  <c r="I188" i="1"/>
  <c r="I633" i="1"/>
  <c r="I675" i="1"/>
  <c r="I467" i="1"/>
  <c r="I286" i="1"/>
  <c r="I681" i="1"/>
  <c r="I649" i="1"/>
  <c r="I465" i="1"/>
  <c r="I466" i="1"/>
  <c r="I408" i="1"/>
  <c r="I435" i="1"/>
  <c r="I474" i="1"/>
  <c r="I522" i="1"/>
  <c r="I617" i="1"/>
  <c r="I18" i="1"/>
  <c r="I716" i="1"/>
  <c r="I509" i="1"/>
  <c r="I40" i="1"/>
  <c r="I85" i="1"/>
  <c r="I547" i="1"/>
  <c r="I560" i="1"/>
  <c r="I529" i="1"/>
  <c r="I400" i="1"/>
  <c r="I636" i="1"/>
  <c r="I670" i="1"/>
  <c r="I576" i="1"/>
  <c r="I323" i="1"/>
  <c r="I419" i="1"/>
  <c r="I25" i="1"/>
  <c r="I272" i="1"/>
  <c r="I292" i="1"/>
  <c r="I335" i="1"/>
  <c r="I412" i="1"/>
  <c r="I468" i="1"/>
  <c r="I439" i="1"/>
  <c r="I575" i="1"/>
  <c r="I487" i="1"/>
  <c r="I550" i="1"/>
  <c r="I143" i="1"/>
  <c r="I433" i="1"/>
  <c r="I184" i="1"/>
  <c r="I666" i="1"/>
  <c r="I708" i="1"/>
  <c r="I647" i="1"/>
  <c r="I342" i="1"/>
  <c r="I139" i="1"/>
  <c r="I156" i="1"/>
  <c r="I495" i="1"/>
  <c r="I483" i="1"/>
  <c r="I291" i="1"/>
  <c r="I654" i="1"/>
  <c r="I697" i="1"/>
  <c r="I293" i="1"/>
  <c r="I596" i="1"/>
  <c r="I656" i="1"/>
  <c r="I512" i="1"/>
  <c r="I590" i="1"/>
  <c r="I629" i="1"/>
  <c r="I84" i="1"/>
  <c r="I36" i="1"/>
  <c r="I585" i="1"/>
  <c r="I574" i="1"/>
  <c r="I496" i="1"/>
  <c r="I640" i="1"/>
  <c r="I48" i="1"/>
  <c r="I271" i="1"/>
  <c r="I715" i="1"/>
  <c r="I395" i="1"/>
  <c r="I569" i="1"/>
  <c r="I657" i="1"/>
  <c r="I553" i="1"/>
  <c r="I441" i="1"/>
  <c r="I313" i="1"/>
  <c r="I711" i="1"/>
  <c r="I533" i="1"/>
  <c r="I632" i="1"/>
  <c r="I599" i="1"/>
  <c r="I382" i="1"/>
  <c r="I50" i="1"/>
  <c r="I81" i="1"/>
  <c r="I543" i="1"/>
  <c r="I314" i="1"/>
  <c r="I87" i="1"/>
  <c r="I340" i="1"/>
  <c r="I504" i="1"/>
  <c r="I479" i="1"/>
  <c r="I417" i="1"/>
  <c r="I414" i="1"/>
  <c r="I356" i="1"/>
  <c r="I515" i="1"/>
  <c r="I362" i="1"/>
  <c r="I655" i="1"/>
  <c r="I498" i="1"/>
  <c r="I65" i="1"/>
  <c r="I194" i="1"/>
  <c r="I327" i="1"/>
  <c r="I177" i="1"/>
  <c r="I213" i="1"/>
  <c r="I278" i="1"/>
  <c r="I116" i="1"/>
  <c r="I264" i="1"/>
  <c r="I370" i="1"/>
  <c r="I217" i="1"/>
  <c r="I221" i="1"/>
  <c r="I521" i="1"/>
  <c r="I61" i="1"/>
  <c r="I390" i="1"/>
  <c r="I260" i="1"/>
  <c r="I710" i="1"/>
  <c r="I358" i="1"/>
  <c r="I713" i="1"/>
  <c r="I706" i="1"/>
  <c r="I261" i="1"/>
  <c r="I659" i="1"/>
  <c r="I490" i="1"/>
  <c r="I733" i="1"/>
  <c r="I91" i="1"/>
  <c r="I23" i="1"/>
  <c r="I77" i="1"/>
  <c r="I80" i="1"/>
  <c r="I326" i="1"/>
  <c r="I310" i="1"/>
  <c r="I119" i="1"/>
  <c r="I513" i="1"/>
  <c r="I571" i="1"/>
  <c r="I78" i="1"/>
  <c r="I83" i="1"/>
  <c r="I274" i="1"/>
  <c r="I404" i="1"/>
  <c r="I537" i="1"/>
  <c r="I407" i="1"/>
  <c r="I527" i="1"/>
  <c r="I517" i="1"/>
  <c r="I500" i="1"/>
  <c r="I486" i="1"/>
  <c r="I311" i="1"/>
  <c r="I324" i="1"/>
  <c r="I57" i="1"/>
  <c r="I41" i="1"/>
  <c r="I170" i="1"/>
  <c r="I171" i="1"/>
  <c r="I542" i="1"/>
  <c r="I478" i="1"/>
  <c r="I163" i="1"/>
  <c r="I44" i="1"/>
  <c r="I128" i="1"/>
  <c r="I161" i="1"/>
  <c r="I437" i="1"/>
  <c r="I361" i="1"/>
  <c r="I330" i="1"/>
  <c r="I56" i="1"/>
  <c r="I247" i="1"/>
  <c r="I719" i="1"/>
  <c r="I49" i="1"/>
  <c r="I73" i="1"/>
  <c r="I60" i="1"/>
  <c r="I88" i="1"/>
  <c r="I94" i="1"/>
  <c r="I442" i="1"/>
  <c r="I159" i="1"/>
  <c r="I445" i="1"/>
  <c r="I308" i="1"/>
  <c r="I381" i="1"/>
  <c r="I416" i="1"/>
  <c r="I472" i="1"/>
  <c r="I436" i="1"/>
  <c r="I446" i="1"/>
  <c r="I520" i="1"/>
  <c r="I350" i="1"/>
  <c r="I526" i="1"/>
  <c r="I394" i="1"/>
  <c r="I525" i="1"/>
  <c r="I581" i="1"/>
  <c r="I336" i="1"/>
  <c r="I684" i="1"/>
  <c r="I174" i="1"/>
  <c r="I618" i="1"/>
  <c r="I644" i="1"/>
  <c r="I341" i="1"/>
  <c r="I491" i="1"/>
  <c r="I628" i="1"/>
  <c r="I411" i="1"/>
  <c r="I449" i="1"/>
  <c r="I475" i="1"/>
  <c r="I391" i="1"/>
  <c r="I447" i="1"/>
  <c r="I231" i="1"/>
  <c r="I281" i="1"/>
  <c r="I275" i="1"/>
  <c r="I460" i="1"/>
  <c r="I108" i="1"/>
  <c r="I93" i="1"/>
  <c r="I162" i="1"/>
  <c r="I212" i="1"/>
  <c r="I387" i="1"/>
  <c r="I230" i="1"/>
  <c r="I236" i="1"/>
  <c r="I186" i="1"/>
  <c r="I240" i="1"/>
  <c r="I735" i="1"/>
  <c r="I145" i="1"/>
  <c r="I32" i="1"/>
  <c r="I232" i="1"/>
  <c r="I523" i="1"/>
  <c r="I294" i="1"/>
  <c r="I690" i="1"/>
  <c r="I302" i="1"/>
  <c r="I398" i="1"/>
  <c r="I427" i="1"/>
  <c r="I309" i="1"/>
  <c r="I331" i="1"/>
  <c r="I430" i="1"/>
  <c r="I422" i="1"/>
  <c r="I573" i="1"/>
  <c r="I138" i="1"/>
  <c r="I9" i="1"/>
  <c r="I604" i="1"/>
  <c r="I519" i="1"/>
  <c r="I339" i="1"/>
  <c r="I276" i="1"/>
  <c r="I346" i="1"/>
  <c r="I283" i="1"/>
  <c r="I210" i="1"/>
  <c r="I418" i="1"/>
  <c r="I26" i="1"/>
  <c r="I265" i="1"/>
  <c r="I211" i="1"/>
  <c r="I168" i="1"/>
  <c r="I22" i="1"/>
  <c r="I14" i="1"/>
  <c r="I37" i="1"/>
  <c r="I28" i="1"/>
  <c r="I31" i="1"/>
  <c r="I74" i="1"/>
  <c r="I141" i="1"/>
  <c r="I120" i="1"/>
  <c r="I131" i="1"/>
  <c r="I104" i="1"/>
  <c r="I183" i="1"/>
  <c r="I137" i="1"/>
  <c r="I249" i="1"/>
  <c r="I277" i="1"/>
  <c r="I181" i="1"/>
  <c r="I130" i="1"/>
  <c r="I136" i="1"/>
  <c r="I106" i="1"/>
  <c r="I187" i="1"/>
  <c r="I255" i="1"/>
  <c r="I103" i="1"/>
  <c r="I152" i="1"/>
  <c r="I434" i="1"/>
  <c r="I421" i="1"/>
  <c r="I610" i="1"/>
  <c r="I530" i="1"/>
  <c r="I528" i="1"/>
  <c r="I180" i="1"/>
  <c r="I477" i="1"/>
  <c r="I601" i="1"/>
  <c r="I273" i="1"/>
  <c r="I709" i="1"/>
  <c r="I154" i="1"/>
  <c r="I263" i="1"/>
  <c r="I254" i="1"/>
  <c r="I226" i="1"/>
  <c r="I377" i="1"/>
  <c r="I343" i="1"/>
  <c r="I234" i="1"/>
  <c r="I373" i="1"/>
  <c r="I320" i="1"/>
  <c r="I107" i="1"/>
  <c r="I312" i="1"/>
  <c r="I219" i="1"/>
  <c r="I204" i="1"/>
  <c r="I338" i="1"/>
  <c r="I570" i="1"/>
  <c r="I100" i="1"/>
  <c r="I147" i="1"/>
  <c r="I176" i="1"/>
  <c r="I157" i="1"/>
  <c r="I92" i="1"/>
  <c r="I192" i="1"/>
  <c r="I245" i="1"/>
  <c r="I425" i="1"/>
  <c r="I190" i="1"/>
  <c r="I365" i="1"/>
  <c r="I353" i="1"/>
  <c r="I203" i="1"/>
  <c r="I301" i="1"/>
  <c r="I329" i="1"/>
  <c r="I142" i="1"/>
  <c r="I246" i="1"/>
  <c r="I282" i="1"/>
  <c r="I250" i="1"/>
  <c r="I30" i="1"/>
  <c r="I111" i="1"/>
  <c r="I305" i="1"/>
  <c r="I406" i="1"/>
  <c r="I269" i="1"/>
  <c r="I235" i="1"/>
  <c r="I220" i="1"/>
  <c r="I451" i="1"/>
  <c r="I567" i="1"/>
  <c r="I704" i="1"/>
  <c r="I367" i="1"/>
  <c r="I577" i="1"/>
  <c r="I321" i="1"/>
  <c r="I303" i="1"/>
  <c r="I122" i="1"/>
  <c r="I179" i="1"/>
  <c r="I424" i="1"/>
  <c r="I11" i="1"/>
  <c r="I233" i="1"/>
  <c r="I306" i="1"/>
  <c r="I64" i="1"/>
  <c r="I227" i="1"/>
  <c r="I285" i="1"/>
  <c r="I368" i="1"/>
  <c r="I297" i="1"/>
  <c r="I289" i="1"/>
  <c r="I97" i="1"/>
  <c r="I259" i="1"/>
  <c r="I399" i="1"/>
  <c r="I144" i="1"/>
  <c r="I476" i="1"/>
  <c r="I127" i="1"/>
  <c r="I360" i="1"/>
  <c r="I199" i="1"/>
  <c r="I89" i="1"/>
  <c r="I229" i="1"/>
  <c r="I298" i="1"/>
  <c r="I352" i="1"/>
  <c r="I155" i="1"/>
  <c r="I102" i="1"/>
  <c r="I13" i="1"/>
  <c r="I149" i="1"/>
  <c r="I482" i="1"/>
  <c r="I206" i="1"/>
  <c r="I196" i="1"/>
  <c r="I409" i="1"/>
  <c r="I248" i="1"/>
  <c r="I318" i="1"/>
  <c r="I125" i="1"/>
  <c r="I59" i="1"/>
  <c r="I62" i="1"/>
  <c r="I99" i="1"/>
  <c r="I55" i="1"/>
  <c r="I584" i="1"/>
  <c r="I454" i="1"/>
  <c r="I565" i="1"/>
  <c r="I290" i="1"/>
  <c r="I38" i="1"/>
  <c r="I279" i="1"/>
  <c r="I148" i="1"/>
  <c r="I458" i="1"/>
  <c r="I243" i="1"/>
  <c r="I71" i="1"/>
  <c r="I8" i="1"/>
  <c r="I7" i="1"/>
  <c r="I6" i="1"/>
  <c r="I376" i="1"/>
  <c r="I4" i="1"/>
  <c r="I438" i="1"/>
  <c r="I415" i="1"/>
  <c r="I374" i="1"/>
  <c r="I132" i="1"/>
  <c r="I623" i="1"/>
  <c r="I506" i="1"/>
  <c r="I694" i="1"/>
  <c r="I598" i="1"/>
  <c r="I594" i="1"/>
  <c r="I615" i="1"/>
  <c r="I664" i="1"/>
  <c r="I645" i="1"/>
  <c r="I586" i="1"/>
  <c r="I592" i="1"/>
  <c r="I603" i="1"/>
  <c r="I562" i="1"/>
  <c r="I712" i="1"/>
  <c r="I702" i="1"/>
  <c r="I630" i="1"/>
  <c r="I493" i="1"/>
  <c r="I691" i="1"/>
  <c r="I732" i="1"/>
  <c r="I591" i="1"/>
  <c r="I134" i="1"/>
  <c r="I722" i="1"/>
  <c r="I641" i="1"/>
  <c r="I545" i="1"/>
  <c r="I35" i="1"/>
  <c r="I696" i="1"/>
  <c r="I12" i="1"/>
  <c r="I464" i="1"/>
  <c r="I287" i="1"/>
  <c r="I429" i="1"/>
  <c r="I228" i="1"/>
  <c r="I178" i="1"/>
  <c r="I665" i="1"/>
  <c r="I536" i="1"/>
  <c r="I672" i="1"/>
  <c r="I568" i="1"/>
  <c r="I643" i="1"/>
  <c r="I608" i="1"/>
  <c r="I105" i="1"/>
  <c r="I646" i="1"/>
  <c r="I578" i="1"/>
  <c r="I17" i="1"/>
  <c r="I511" i="1"/>
  <c r="I54" i="1"/>
  <c r="I548" i="1"/>
  <c r="I115" i="1"/>
  <c r="I518" i="1"/>
  <c r="I185" i="1"/>
  <c r="I237" i="1"/>
  <c r="I620" i="1"/>
  <c r="I24" i="1"/>
  <c r="I2" i="1"/>
  <c r="I541" i="1"/>
  <c r="I378" i="1"/>
  <c r="I209" i="1"/>
  <c r="I516" i="1"/>
  <c r="I727" i="1"/>
  <c r="I626" i="1"/>
  <c r="I671" i="1"/>
  <c r="I693" i="1"/>
  <c r="I619" i="1"/>
  <c r="I195" i="1"/>
  <c r="I740" i="1"/>
  <c r="I611" i="1"/>
  <c r="I695" i="1"/>
  <c r="I587" i="1"/>
  <c r="I674" i="1"/>
  <c r="I738" i="1"/>
  <c r="I602" i="1"/>
  <c r="I554" i="1"/>
  <c r="I597" i="1"/>
  <c r="I499" i="1"/>
  <c r="I731" i="1"/>
  <c r="I580" i="1"/>
  <c r="I661" i="1"/>
  <c r="I720" i="1"/>
  <c r="I682" i="1"/>
  <c r="I322" i="1"/>
  <c r="I267" i="1"/>
  <c r="I68" i="1"/>
  <c r="I741" i="1"/>
  <c r="I166" i="1"/>
  <c r="I653" i="1"/>
  <c r="I223" i="1"/>
  <c r="I698" i="1"/>
  <c r="I652" i="1"/>
  <c r="I680" i="1"/>
  <c r="I5" i="1"/>
  <c r="I651" i="1"/>
  <c r="I606" i="1"/>
  <c r="I676" i="1"/>
  <c r="I583" i="1"/>
  <c r="I20" i="1"/>
  <c r="I461" i="1"/>
  <c r="I622" i="1"/>
  <c r="I662" i="1"/>
  <c r="I375" i="1"/>
  <c r="I605" i="1"/>
  <c r="I334" i="1"/>
  <c r="I648" i="1"/>
  <c r="I669" i="1"/>
  <c r="I110" i="1"/>
  <c r="I531" i="1"/>
  <c r="I385" i="1"/>
  <c r="I667" i="1"/>
  <c r="I588" i="1"/>
  <c r="I556" i="1"/>
  <c r="I544" i="1"/>
  <c r="I27" i="1"/>
  <c r="I295" i="1"/>
  <c r="I423" i="1"/>
  <c r="I701" i="1"/>
  <c r="I718" i="1"/>
  <c r="I613" i="1"/>
  <c r="I113" i="1"/>
  <c r="I121" i="1"/>
  <c r="I668" i="1"/>
  <c r="I405" i="1"/>
  <c r="I33" i="1"/>
  <c r="I734" i="1"/>
  <c r="I625" i="1"/>
  <c r="I546" i="1"/>
  <c r="I10" i="1"/>
  <c r="I614" i="1"/>
  <c r="I607" i="1"/>
  <c r="I736" i="1"/>
  <c r="I455" i="1"/>
  <c r="I725" i="1"/>
  <c r="I564" i="1"/>
  <c r="I729" i="1"/>
  <c r="I582" i="1"/>
  <c r="I692" i="1"/>
  <c r="I501" i="1"/>
  <c r="I497" i="1"/>
  <c r="I450" i="1"/>
  <c r="I660" i="1"/>
  <c r="I559" i="1"/>
  <c r="I635" i="1"/>
  <c r="I679" i="1"/>
  <c r="I53" i="1"/>
  <c r="I634" i="1"/>
  <c r="I207" i="1"/>
  <c r="I268" i="1"/>
  <c r="I428" i="1"/>
  <c r="I448" i="1"/>
  <c r="I126" i="1"/>
  <c r="I153" i="1"/>
  <c r="I175" i="1"/>
  <c r="I169" i="1"/>
  <c r="I459" i="1"/>
  <c r="I42" i="1"/>
  <c r="I34" i="1"/>
  <c r="I241" i="1"/>
  <c r="I494" i="1"/>
  <c r="I535" i="1"/>
  <c r="I431" i="1"/>
  <c r="I686" i="1"/>
  <c r="I357" i="1"/>
  <c r="I86" i="1"/>
  <c r="I462" i="1"/>
  <c r="I133" i="1"/>
  <c r="I481" i="1"/>
  <c r="I299" i="1"/>
  <c r="I201" i="1"/>
  <c r="I101" i="1"/>
  <c r="I239" i="1"/>
  <c r="I724" i="1"/>
  <c r="I225" i="1"/>
  <c r="I218" i="1"/>
  <c r="I118" i="1"/>
  <c r="I16" i="1"/>
  <c r="I388" i="1"/>
  <c r="I484" i="1"/>
  <c r="I572" i="1"/>
  <c r="I222" i="1"/>
  <c r="I514" i="1"/>
  <c r="I595" i="1"/>
  <c r="I214" i="1"/>
  <c r="I383" i="1"/>
  <c r="I348" i="1"/>
  <c r="I202" i="1"/>
  <c r="I363" i="1"/>
  <c r="I463" i="1"/>
  <c r="I364" i="1"/>
  <c r="I70" i="1"/>
  <c r="I492" i="1"/>
  <c r="I182" i="1"/>
  <c r="I456" i="1"/>
  <c r="I284" i="1"/>
  <c r="I386" i="1"/>
  <c r="I410" i="1"/>
  <c r="I745" i="1"/>
  <c r="I333" i="1"/>
  <c r="I29" i="1"/>
  <c r="I420" i="1"/>
  <c r="I238" i="1"/>
  <c r="I354" i="1"/>
  <c r="I98" i="1"/>
  <c r="I135" i="1"/>
  <c r="I457" i="1"/>
  <c r="I266" i="1"/>
  <c r="I200" i="1"/>
  <c r="I355" i="1"/>
  <c r="I58" i="1"/>
  <c r="I748" i="1"/>
  <c r="I315" i="1"/>
  <c r="I469" i="1"/>
  <c r="I52" i="1"/>
  <c r="I296" i="1"/>
  <c r="I146" i="1"/>
  <c r="I129" i="1"/>
  <c r="I443" i="1"/>
  <c r="I251" i="1"/>
  <c r="I432" i="1"/>
  <c r="I193" i="1"/>
  <c r="I473" i="1"/>
  <c r="I444" i="1"/>
  <c r="I114" i="1"/>
  <c r="I688" i="1"/>
  <c r="I707" i="1"/>
  <c r="I678" i="1"/>
  <c r="I471" i="1"/>
  <c r="I393" i="1"/>
  <c r="I555" i="1"/>
  <c r="I426" i="1"/>
  <c r="I557" i="1"/>
  <c r="I328" i="1"/>
  <c r="I540" i="1"/>
  <c r="I366" i="1"/>
  <c r="I508" i="1"/>
  <c r="I593" i="1"/>
  <c r="H489" i="1"/>
  <c r="H349" i="1"/>
  <c r="H470" i="1"/>
  <c r="H739" i="1"/>
  <c r="H347" i="1"/>
  <c r="H495" i="1"/>
  <c r="H483" i="1"/>
  <c r="H291" i="1"/>
  <c r="H654" i="1"/>
  <c r="H697" i="1"/>
  <c r="H293" i="1"/>
  <c r="H596" i="1"/>
  <c r="H656" i="1"/>
  <c r="H512" i="1"/>
  <c r="H590" i="1"/>
  <c r="H629" i="1"/>
  <c r="H84" i="1"/>
  <c r="H36" i="1"/>
  <c r="H585" i="1"/>
  <c r="H574" i="1"/>
  <c r="H496" i="1"/>
  <c r="H640" i="1"/>
  <c r="H48" i="1"/>
  <c r="H271" i="1"/>
  <c r="H715" i="1"/>
  <c r="H395" i="1"/>
  <c r="H569" i="1"/>
  <c r="H657" i="1"/>
  <c r="H553" i="1"/>
  <c r="H441" i="1"/>
  <c r="H313" i="1"/>
  <c r="H711" i="1"/>
  <c r="H533" i="1"/>
  <c r="H632" i="1"/>
  <c r="H599" i="1"/>
  <c r="H382" i="1"/>
  <c r="H50" i="1"/>
  <c r="H81" i="1"/>
  <c r="H543" i="1"/>
  <c r="H314" i="1"/>
  <c r="H87" i="1"/>
  <c r="H340" i="1"/>
  <c r="H504" i="1"/>
  <c r="H479" i="1"/>
  <c r="H417" i="1"/>
  <c r="H414" i="1"/>
  <c r="H356" i="1"/>
  <c r="H515" i="1"/>
  <c r="H362" i="1"/>
  <c r="H655" i="1"/>
  <c r="H498" i="1"/>
  <c r="H65" i="1"/>
  <c r="H194" i="1"/>
  <c r="H327" i="1"/>
  <c r="H177" i="1"/>
  <c r="H213" i="1"/>
  <c r="H278" i="1"/>
  <c r="H116" i="1"/>
  <c r="H264" i="1"/>
  <c r="H370" i="1"/>
  <c r="H217" i="1"/>
  <c r="H221" i="1"/>
  <c r="H521" i="1"/>
  <c r="H61" i="1"/>
  <c r="H390" i="1"/>
  <c r="H260" i="1"/>
  <c r="H710" i="1"/>
  <c r="H358" i="1"/>
  <c r="H713" i="1"/>
  <c r="H706" i="1"/>
  <c r="H261" i="1"/>
  <c r="H659" i="1"/>
  <c r="H490" i="1"/>
  <c r="H733" i="1"/>
  <c r="H91" i="1"/>
  <c r="H23" i="1"/>
  <c r="H77" i="1"/>
  <c r="H80" i="1"/>
  <c r="H326" i="1"/>
  <c r="H310" i="1"/>
  <c r="H119" i="1"/>
  <c r="H513" i="1"/>
  <c r="H571" i="1"/>
  <c r="H78" i="1"/>
  <c r="H83" i="1"/>
  <c r="H274" i="1"/>
  <c r="H404" i="1"/>
  <c r="H537" i="1"/>
  <c r="H407" i="1"/>
  <c r="H527" i="1"/>
  <c r="H517" i="1"/>
  <c r="H500" i="1"/>
  <c r="H486" i="1"/>
  <c r="H311" i="1"/>
  <c r="H324" i="1"/>
  <c r="H57" i="1"/>
  <c r="H41" i="1"/>
  <c r="H170" i="1"/>
  <c r="H171" i="1"/>
  <c r="H542" i="1"/>
  <c r="H478" i="1"/>
  <c r="H163" i="1"/>
  <c r="H44" i="1"/>
  <c r="H128" i="1"/>
  <c r="H161" i="1"/>
  <c r="H437" i="1"/>
  <c r="H361" i="1"/>
  <c r="H730" i="1"/>
  <c r="H552" i="1"/>
  <c r="H485" i="1"/>
  <c r="H205" i="1"/>
  <c r="H257" i="1"/>
  <c r="H189" i="1"/>
  <c r="H330" i="1"/>
  <c r="H566" i="1"/>
  <c r="H673" i="1"/>
  <c r="H658" i="1"/>
  <c r="H160" i="1"/>
  <c r="H440" i="1"/>
  <c r="H683" i="1"/>
  <c r="H549" i="1"/>
  <c r="H56" i="1"/>
  <c r="H300" i="1"/>
  <c r="H207" i="1"/>
  <c r="H247" i="1"/>
  <c r="H402" i="1"/>
  <c r="H79" i="1"/>
  <c r="H371" i="1"/>
  <c r="H392" i="1"/>
  <c r="H15" i="1"/>
  <c r="H95" i="1"/>
  <c r="H90" i="1"/>
  <c r="H616" i="1"/>
  <c r="H624" i="1"/>
  <c r="H721" i="1"/>
  <c r="H215" i="1"/>
  <c r="H262" i="1"/>
  <c r="H46" i="1"/>
  <c r="H369" i="1"/>
  <c r="H268" i="1"/>
  <c r="H165" i="1"/>
  <c r="H503" i="1"/>
  <c r="H494" i="1"/>
  <c r="H535" i="1"/>
  <c r="H124" i="1"/>
  <c r="H719" i="1"/>
  <c r="H523" i="1"/>
  <c r="H294" i="1"/>
  <c r="H690" i="1"/>
  <c r="H302" i="1"/>
  <c r="H398" i="1"/>
  <c r="H427" i="1"/>
  <c r="H309" i="1"/>
  <c r="H331" i="1"/>
  <c r="H430" i="1"/>
  <c r="H422" i="1"/>
  <c r="H573" i="1"/>
  <c r="H138" i="1"/>
  <c r="H9" i="1"/>
  <c r="H604" i="1"/>
  <c r="H519" i="1"/>
  <c r="H339" i="1"/>
  <c r="H276" i="1"/>
  <c r="H346" i="1"/>
  <c r="H49" i="1"/>
  <c r="H73" i="1"/>
  <c r="H60" i="1"/>
  <c r="H88" i="1"/>
  <c r="H94" i="1"/>
  <c r="H442" i="1"/>
  <c r="H159" i="1"/>
  <c r="H445" i="1"/>
  <c r="H308" i="1"/>
  <c r="H381" i="1"/>
  <c r="H416" i="1"/>
  <c r="H472" i="1"/>
  <c r="H436" i="1"/>
  <c r="H446" i="1"/>
  <c r="H520" i="1"/>
  <c r="H350" i="1"/>
  <c r="H526" i="1"/>
  <c r="H394" i="1"/>
  <c r="H525" i="1"/>
  <c r="H581" i="1"/>
  <c r="H336" i="1"/>
  <c r="H684" i="1"/>
  <c r="H174" i="1"/>
  <c r="H618" i="1"/>
  <c r="H644" i="1"/>
  <c r="H341" i="1"/>
  <c r="H491" i="1"/>
  <c r="H628" i="1"/>
  <c r="H411" i="1"/>
  <c r="H449" i="1"/>
  <c r="H475" i="1"/>
  <c r="H391" i="1"/>
  <c r="H447" i="1"/>
  <c r="H231" i="1"/>
  <c r="H281" i="1"/>
  <c r="H275" i="1"/>
  <c r="H460" i="1"/>
  <c r="H108" i="1"/>
  <c r="H93" i="1"/>
  <c r="H162" i="1"/>
  <c r="H212" i="1"/>
  <c r="H387" i="1"/>
  <c r="H230" i="1"/>
  <c r="H236" i="1"/>
  <c r="H186" i="1"/>
  <c r="H240" i="1"/>
  <c r="H735" i="1"/>
  <c r="H145" i="1"/>
  <c r="H32" i="1"/>
  <c r="H232" i="1"/>
  <c r="H621" i="1"/>
  <c r="H428" i="1"/>
  <c r="H448" i="1"/>
  <c r="H126" i="1"/>
  <c r="H153" i="1"/>
  <c r="H175" i="1"/>
  <c r="H169" i="1"/>
  <c r="H459" i="1"/>
  <c r="H42" i="1"/>
  <c r="H534" i="1"/>
  <c r="H283" i="1"/>
  <c r="H210" i="1"/>
  <c r="H418" i="1"/>
  <c r="H26" i="1"/>
  <c r="H265" i="1"/>
  <c r="H211" i="1"/>
  <c r="H168" i="1"/>
  <c r="H241" i="1"/>
  <c r="H22" i="1"/>
  <c r="H14" i="1"/>
  <c r="H37" i="1"/>
  <c r="H28" i="1"/>
  <c r="H31" i="1"/>
  <c r="H74" i="1"/>
  <c r="H141" i="1"/>
  <c r="H120" i="1"/>
  <c r="H131" i="1"/>
  <c r="H104" i="1"/>
  <c r="H183" i="1"/>
  <c r="H137" i="1"/>
  <c r="H249" i="1"/>
  <c r="H277" i="1"/>
  <c r="H181" i="1"/>
  <c r="H130" i="1"/>
  <c r="H136" i="1"/>
  <c r="H106" i="1"/>
  <c r="H187" i="1"/>
  <c r="H255" i="1"/>
  <c r="H103" i="1"/>
  <c r="H34" i="1"/>
  <c r="H152" i="1"/>
  <c r="H434" i="1"/>
  <c r="H325" i="1"/>
  <c r="H612" i="1"/>
  <c r="H351" i="1"/>
  <c r="H421" i="1"/>
  <c r="H610" i="1"/>
  <c r="H530" i="1"/>
  <c r="H528" i="1"/>
  <c r="H180" i="1"/>
  <c r="H477" i="1"/>
  <c r="H601" i="1"/>
  <c r="H379" i="1"/>
  <c r="H538" i="1"/>
  <c r="H39" i="1"/>
  <c r="H273" i="1"/>
  <c r="H389" i="1"/>
  <c r="H123" i="1"/>
  <c r="H463" i="1"/>
  <c r="H364" i="1"/>
  <c r="H70" i="1"/>
  <c r="H492" i="1"/>
  <c r="H182" i="1"/>
  <c r="H532" i="1"/>
  <c r="H452" i="1"/>
  <c r="H397" i="1"/>
  <c r="H332" i="1"/>
  <c r="H689" i="1"/>
  <c r="H637" i="1"/>
  <c r="H700" i="1"/>
  <c r="H699" i="1"/>
  <c r="H723" i="1"/>
  <c r="H703" i="1"/>
  <c r="H709" i="1"/>
  <c r="H677" i="1"/>
  <c r="H589" i="1"/>
  <c r="H47" i="1"/>
  <c r="H563" i="1"/>
  <c r="H505" i="1"/>
  <c r="H164" i="1"/>
  <c r="H507" i="1"/>
  <c r="H197" i="1"/>
  <c r="H687" i="1"/>
  <c r="H359" i="1"/>
  <c r="H717" i="1"/>
  <c r="H456" i="1"/>
  <c r="H431" i="1"/>
  <c r="H154" i="1"/>
  <c r="H263" i="1"/>
  <c r="H254" i="1"/>
  <c r="H284" i="1"/>
  <c r="H386" i="1"/>
  <c r="H226" i="1"/>
  <c r="H377" i="1"/>
  <c r="H343" i="1"/>
  <c r="H410" i="1"/>
  <c r="H288" i="1"/>
  <c r="H234" i="1"/>
  <c r="H373" i="1"/>
  <c r="H320" i="1"/>
  <c r="H107" i="1"/>
  <c r="H686" i="1"/>
  <c r="H333" i="1"/>
  <c r="H304" i="1"/>
  <c r="H384" i="1"/>
  <c r="H312" i="1"/>
  <c r="H256" i="1"/>
  <c r="H158" i="1"/>
  <c r="H51" i="1"/>
  <c r="H219" i="1"/>
  <c r="H316" i="1"/>
  <c r="H204" i="1"/>
  <c r="H29" i="1"/>
  <c r="H420" i="1"/>
  <c r="H238" i="1"/>
  <c r="H338" i="1"/>
  <c r="H570" i="1"/>
  <c r="H561" i="1"/>
  <c r="H354" i="1"/>
  <c r="H100" i="1"/>
  <c r="H76" i="1"/>
  <c r="H147" i="1"/>
  <c r="H176" i="1"/>
  <c r="H198" i="1"/>
  <c r="H66" i="1"/>
  <c r="H157" i="1"/>
  <c r="H92" i="1"/>
  <c r="H21" i="1"/>
  <c r="H192" i="1"/>
  <c r="H357" i="1"/>
  <c r="H86" i="1"/>
  <c r="H245" i="1"/>
  <c r="H425" i="1"/>
  <c r="H190" i="1"/>
  <c r="H365" i="1"/>
  <c r="H353" i="1"/>
  <c r="H252" i="1"/>
  <c r="H203" i="1"/>
  <c r="H301" i="1"/>
  <c r="H462" i="1"/>
  <c r="H329" i="1"/>
  <c r="H142" i="1"/>
  <c r="H246" i="1"/>
  <c r="H244" i="1"/>
  <c r="H282" i="1"/>
  <c r="H98" i="1"/>
  <c r="H133" i="1"/>
  <c r="H250" i="1"/>
  <c r="H319" i="1"/>
  <c r="H30" i="1"/>
  <c r="H111" i="1"/>
  <c r="H305" i="1"/>
  <c r="H63" i="1"/>
  <c r="H481" i="1"/>
  <c r="H406" i="1"/>
  <c r="H82" i="1"/>
  <c r="H269" i="1"/>
  <c r="H235" i="1"/>
  <c r="H135" i="1"/>
  <c r="H45" i="1"/>
  <c r="H220" i="1"/>
  <c r="H457" i="1"/>
  <c r="H451" i="1"/>
  <c r="H299" i="1"/>
  <c r="H567" i="1"/>
  <c r="H704" i="1"/>
  <c r="H367" i="1"/>
  <c r="H577" i="1"/>
  <c r="H321" i="1"/>
  <c r="H303" i="1"/>
  <c r="H266" i="1"/>
  <c r="H167" i="1"/>
  <c r="H317" i="1"/>
  <c r="H200" i="1"/>
  <c r="H122" i="1"/>
  <c r="H355" i="1"/>
  <c r="H117" i="1"/>
  <c r="H179" i="1"/>
  <c r="H58" i="1"/>
  <c r="H424" i="1"/>
  <c r="H748" i="1"/>
  <c r="H11" i="1"/>
  <c r="H315" i="1"/>
  <c r="H233" i="1"/>
  <c r="H306" i="1"/>
  <c r="H344" i="1"/>
  <c r="H64" i="1"/>
  <c r="H172" i="1"/>
  <c r="H469" i="1"/>
  <c r="H227" i="1"/>
  <c r="H242" i="1"/>
  <c r="H345" i="1"/>
  <c r="H285" i="1"/>
  <c r="H396" i="1"/>
  <c r="H368" i="1"/>
  <c r="H297" i="1"/>
  <c r="H289" i="1"/>
  <c r="H97" i="1"/>
  <c r="H372" i="1"/>
  <c r="H67" i="1"/>
  <c r="H140" i="1"/>
  <c r="H75" i="1"/>
  <c r="H259" i="1"/>
  <c r="H201" i="1"/>
  <c r="H52" i="1"/>
  <c r="H399" i="1"/>
  <c r="H101" i="1"/>
  <c r="H239" i="1"/>
  <c r="H724" i="1"/>
  <c r="H144" i="1"/>
  <c r="H476" i="1"/>
  <c r="H127" i="1"/>
  <c r="H360" i="1"/>
  <c r="H199" i="1"/>
  <c r="H296" i="1"/>
  <c r="H453" i="1"/>
  <c r="H89" i="1"/>
  <c r="H229" i="1"/>
  <c r="H191" i="1"/>
  <c r="H298" i="1"/>
  <c r="H146" i="1"/>
  <c r="H352" i="1"/>
  <c r="H155" i="1"/>
  <c r="H102" i="1"/>
  <c r="H129" i="1"/>
  <c r="H72" i="1"/>
  <c r="H109" i="1"/>
  <c r="H225" i="1"/>
  <c r="H13" i="1"/>
  <c r="H150" i="1"/>
  <c r="H149" i="1"/>
  <c r="H482" i="1"/>
  <c r="H206" i="1"/>
  <c r="H196" i="1"/>
  <c r="H443" i="1"/>
  <c r="H151" i="1"/>
  <c r="H409" i="1"/>
  <c r="H248" i="1"/>
  <c r="H318" i="1"/>
  <c r="H218" i="1"/>
  <c r="H173" i="1"/>
  <c r="H125" i="1"/>
  <c r="H59" i="1"/>
  <c r="H208" i="1"/>
  <c r="H253" i="1"/>
  <c r="H401" i="1"/>
  <c r="H251" i="1"/>
  <c r="H270" i="1"/>
  <c r="H62" i="1"/>
  <c r="H432" i="1"/>
  <c r="H99" i="1"/>
  <c r="H55" i="1"/>
  <c r="H337" i="1"/>
  <c r="H307" i="1"/>
  <c r="H584" i="1"/>
  <c r="H193" i="1"/>
  <c r="H454" i="1"/>
  <c r="H565" i="1"/>
  <c r="H118" i="1"/>
  <c r="H290" i="1"/>
  <c r="H38" i="1"/>
  <c r="H16" i="1"/>
  <c r="H279" i="1"/>
  <c r="H43" i="1"/>
  <c r="H148" i="1"/>
  <c r="H413" i="1"/>
  <c r="H458" i="1"/>
  <c r="H480" i="1"/>
  <c r="H96" i="1"/>
  <c r="H243" i="1"/>
  <c r="H71" i="1"/>
  <c r="H8" i="1"/>
  <c r="H7" i="1"/>
  <c r="H6" i="1"/>
  <c r="H376" i="1"/>
  <c r="H3" i="1"/>
  <c r="H4" i="1"/>
  <c r="H388" i="1"/>
  <c r="H438" i="1"/>
  <c r="H415" i="1"/>
  <c r="H473" i="1"/>
  <c r="H374" i="1"/>
  <c r="H444" i="1"/>
  <c r="H484" i="1"/>
  <c r="H114" i="1"/>
  <c r="H403" i="1"/>
  <c r="H132" i="1"/>
  <c r="H623" i="1"/>
  <c r="H506" i="1"/>
  <c r="H694" i="1"/>
  <c r="H598" i="1"/>
  <c r="H216" i="1"/>
  <c r="H594" i="1"/>
  <c r="H615" i="1"/>
  <c r="H664" i="1"/>
  <c r="H645" i="1"/>
  <c r="H586" i="1"/>
  <c r="H685" i="1"/>
  <c r="H688" i="1"/>
  <c r="H579" i="1"/>
  <c r="H592" i="1"/>
  <c r="H603" i="1"/>
  <c r="H562" i="1"/>
  <c r="H712" i="1"/>
  <c r="H702" i="1"/>
  <c r="H112" i="1"/>
  <c r="H663" i="1"/>
  <c r="H707" i="1"/>
  <c r="H630" i="1"/>
  <c r="H493" i="1"/>
  <c r="H678" i="1"/>
  <c r="H691" i="1"/>
  <c r="H572" i="1"/>
  <c r="H732" i="1"/>
  <c r="H591" i="1"/>
  <c r="H134" i="1"/>
  <c r="H722" i="1"/>
  <c r="H641" i="1"/>
  <c r="H471" i="1"/>
  <c r="H545" i="1"/>
  <c r="H35" i="1"/>
  <c r="H696" i="1"/>
  <c r="H12" i="1"/>
  <c r="H464" i="1"/>
  <c r="H287" i="1"/>
  <c r="H429" i="1"/>
  <c r="H228" i="1"/>
  <c r="H178" i="1"/>
  <c r="H393" i="1"/>
  <c r="H665" i="1"/>
  <c r="H536" i="1"/>
  <c r="H555" i="1"/>
  <c r="H672" i="1"/>
  <c r="H568" i="1"/>
  <c r="H524" i="1"/>
  <c r="H643" i="1"/>
  <c r="H608" i="1"/>
  <c r="H69" i="1"/>
  <c r="H105" i="1"/>
  <c r="H646" i="1"/>
  <c r="H578" i="1"/>
  <c r="H17" i="1"/>
  <c r="H511" i="1"/>
  <c r="H54" i="1"/>
  <c r="H258" i="1"/>
  <c r="H548" i="1"/>
  <c r="H426" i="1"/>
  <c r="H115" i="1"/>
  <c r="H518" i="1"/>
  <c r="H185" i="1"/>
  <c r="H237" i="1"/>
  <c r="H222" i="1"/>
  <c r="H600" i="1"/>
  <c r="H620" i="1"/>
  <c r="H24" i="1"/>
  <c r="H2" i="1"/>
  <c r="H541" i="1"/>
  <c r="H378" i="1"/>
  <c r="H209" i="1"/>
  <c r="H516" i="1"/>
  <c r="H727" i="1"/>
  <c r="H514" i="1"/>
  <c r="H626" i="1"/>
  <c r="H671" i="1"/>
  <c r="H551" i="1"/>
  <c r="H693" i="1"/>
  <c r="H619" i="1"/>
  <c r="H195" i="1"/>
  <c r="H740" i="1"/>
  <c r="H611" i="1"/>
  <c r="H19" i="1"/>
  <c r="H714" i="1"/>
  <c r="H695" i="1"/>
  <c r="H557" i="1"/>
  <c r="H587" i="1"/>
  <c r="H674" i="1"/>
  <c r="H726" i="1"/>
  <c r="H639" i="1"/>
  <c r="H738" i="1"/>
  <c r="H602" i="1"/>
  <c r="H554" i="1"/>
  <c r="H597" i="1"/>
  <c r="H595" i="1"/>
  <c r="H728" i="1"/>
  <c r="H499" i="1"/>
  <c r="H731" i="1"/>
  <c r="H580" i="1"/>
  <c r="H631" i="1"/>
  <c r="H705" i="1"/>
  <c r="H558" i="1"/>
  <c r="H488" i="1"/>
  <c r="H661" i="1"/>
  <c r="H720" i="1"/>
  <c r="H682" i="1"/>
  <c r="H322" i="1"/>
  <c r="H267" i="1"/>
  <c r="H650" i="1"/>
  <c r="H68" i="1"/>
  <c r="H328" i="1"/>
  <c r="H741" i="1"/>
  <c r="H166" i="1"/>
  <c r="H653" i="1"/>
  <c r="H223" i="1"/>
  <c r="H698" i="1"/>
  <c r="H652" i="1"/>
  <c r="H680" i="1"/>
  <c r="H5" i="1"/>
  <c r="H651" i="1"/>
  <c r="H540" i="1"/>
  <c r="H366" i="1"/>
  <c r="H642" i="1"/>
  <c r="H606" i="1"/>
  <c r="H676" i="1"/>
  <c r="H583" i="1"/>
  <c r="H737" i="1"/>
  <c r="H20" i="1"/>
  <c r="H280" i="1"/>
  <c r="H638" i="1"/>
  <c r="H461" i="1"/>
  <c r="H622" i="1"/>
  <c r="H662" i="1"/>
  <c r="H375" i="1"/>
  <c r="H593" i="1"/>
  <c r="H605" i="1"/>
  <c r="H334" i="1"/>
  <c r="H648" i="1"/>
  <c r="H669" i="1"/>
  <c r="H110" i="1"/>
  <c r="H531" i="1"/>
  <c r="H502" i="1"/>
  <c r="H385" i="1"/>
  <c r="H510" i="1"/>
  <c r="H667" i="1"/>
  <c r="H588" i="1"/>
  <c r="H556" i="1"/>
  <c r="H544" i="1"/>
  <c r="H27" i="1"/>
  <c r="H508" i="1"/>
  <c r="H295" i="1"/>
  <c r="H423" i="1"/>
  <c r="H539" i="1"/>
  <c r="H701" i="1"/>
  <c r="H718" i="1"/>
  <c r="H613" i="1"/>
  <c r="H113" i="1"/>
  <c r="H121" i="1"/>
  <c r="H214" i="1"/>
  <c r="H668" i="1"/>
  <c r="H405" i="1"/>
  <c r="H33" i="1"/>
  <c r="H734" i="1"/>
  <c r="H625" i="1"/>
  <c r="H546" i="1"/>
  <c r="H10" i="1"/>
  <c r="H188" i="1"/>
  <c r="H614" i="1"/>
  <c r="H607" i="1"/>
  <c r="H736" i="1"/>
  <c r="H455" i="1"/>
  <c r="H633" i="1"/>
  <c r="H675" i="1"/>
  <c r="H725" i="1"/>
  <c r="H564" i="1"/>
  <c r="H729" i="1"/>
  <c r="H467" i="1"/>
  <c r="H582" i="1"/>
  <c r="H692" i="1"/>
  <c r="H501" i="1"/>
  <c r="H286" i="1"/>
  <c r="H497" i="1"/>
  <c r="H450" i="1"/>
  <c r="H660" i="1"/>
  <c r="H559" i="1"/>
  <c r="H635" i="1"/>
  <c r="H679" i="1"/>
  <c r="H681" i="1"/>
  <c r="H53" i="1"/>
  <c r="H634" i="1"/>
  <c r="H627" i="1"/>
  <c r="H383" i="1"/>
  <c r="H348" i="1"/>
  <c r="H202" i="1"/>
  <c r="H363" i="1"/>
  <c r="H609" i="1"/>
  <c r="H649" i="1"/>
  <c r="H465" i="1"/>
  <c r="H466" i="1"/>
  <c r="H408" i="1"/>
  <c r="H435" i="1"/>
  <c r="H474" i="1"/>
  <c r="H522" i="1"/>
  <c r="H617" i="1"/>
  <c r="H18" i="1"/>
  <c r="H716" i="1"/>
  <c r="H509" i="1"/>
  <c r="H40" i="1"/>
  <c r="H85" i="1"/>
  <c r="H547" i="1"/>
  <c r="H560" i="1"/>
  <c r="H529" i="1"/>
  <c r="H400" i="1"/>
  <c r="H636" i="1"/>
  <c r="H670" i="1"/>
  <c r="H576" i="1"/>
  <c r="H323" i="1"/>
  <c r="H419" i="1"/>
  <c r="H25" i="1"/>
  <c r="H272" i="1"/>
  <c r="H292" i="1"/>
  <c r="H335" i="1"/>
  <c r="H412" i="1"/>
  <c r="H468" i="1"/>
  <c r="H439" i="1"/>
  <c r="H575" i="1"/>
  <c r="H487" i="1"/>
  <c r="H550" i="1"/>
  <c r="H143" i="1"/>
  <c r="H433" i="1"/>
  <c r="H184" i="1"/>
  <c r="H666" i="1"/>
  <c r="H708" i="1"/>
  <c r="H647" i="1"/>
  <c r="H342" i="1"/>
  <c r="H139" i="1"/>
  <c r="H156" i="1"/>
  <c r="H1" i="1"/>
</calcChain>
</file>

<file path=xl/sharedStrings.xml><?xml version="1.0" encoding="utf-8"?>
<sst xmlns="http://schemas.openxmlformats.org/spreadsheetml/2006/main" count="5871" uniqueCount="2783">
  <si>
    <t>Cod_Expre</t>
  </si>
  <si>
    <t>Cod_Suc</t>
  </si>
  <si>
    <t>Sucursal</t>
  </si>
  <si>
    <t>Cod_Prov</t>
  </si>
  <si>
    <t>C_Post</t>
  </si>
  <si>
    <t>Telefono</t>
  </si>
  <si>
    <t>Notas</t>
  </si>
  <si>
    <t>inactivo</t>
  </si>
  <si>
    <t>FALSO</t>
  </si>
  <si>
    <t>JOSE RODO 6255 (COMUNA 9 )</t>
  </si>
  <si>
    <t xml:space="preserve"> 2</t>
  </si>
  <si>
    <t>JOSE RODO 6255</t>
  </si>
  <si>
    <t>1440</t>
  </si>
  <si>
    <t>AV. INT. FRANCISCO RABANAL 2886 - ( CAPITAL FEDERAL )</t>
  </si>
  <si>
    <t>AV. INT. FRANCISCO RABANAL 2886</t>
  </si>
  <si>
    <t>1437</t>
  </si>
  <si>
    <t>4919-0075</t>
  </si>
  <si>
    <t>AV. FERNANDEZ DE LA CRUZ 2438 - ( CAPITAL FEDERAL )</t>
  </si>
  <si>
    <t>AV. FERNANDEZ DE LA CRUZ 2438</t>
  </si>
  <si>
    <t>4919-5468/9</t>
  </si>
  <si>
    <t>CASTAÑON 3556 - ( CAPITAL FEDERAL )</t>
  </si>
  <si>
    <t>CASTAÑON 3556</t>
  </si>
  <si>
    <t>1260</t>
  </si>
  <si>
    <t>4912-2418 / 4912-7395</t>
  </si>
  <si>
    <t>PORTELA 3447</t>
  </si>
  <si>
    <t>PERGAMINO 3751 NAV 3 MOD 70</t>
  </si>
  <si>
    <t>4600-9463 4600-7490</t>
  </si>
  <si>
    <t>LAS CASAS 3445 - ( CAPITAL FEDERAL )</t>
  </si>
  <si>
    <t>LAS CASAS 3445</t>
  </si>
  <si>
    <t>1238</t>
  </si>
  <si>
    <t>VARELA 3045 - ( CAPITAL FEDERAL )</t>
  </si>
  <si>
    <t>VARELA 3045</t>
  </si>
  <si>
    <t>4918-9619</t>
  </si>
  <si>
    <t>AMANCIO ALCORTA 2733 - ( P.PATRICIOS )</t>
  </si>
  <si>
    <t>AMANCIO ALCORTA 2733</t>
  </si>
  <si>
    <t>IGUAZU 719 - ( P.PATRICIOS )</t>
  </si>
  <si>
    <t>IGUAZU 719</t>
  </si>
  <si>
    <t>JOSE I. RUCCI 3330 - ( CABA )</t>
  </si>
  <si>
    <t>JOSE I. RUCCI 3330</t>
  </si>
  <si>
    <t>(011) 15 2686-1485</t>
  </si>
  <si>
    <t>USPALLATA 2653 - ( P.PATRICIOS )</t>
  </si>
  <si>
    <t>USPALLATA 2653</t>
  </si>
  <si>
    <t>4308-4624</t>
  </si>
  <si>
    <t>JOHN W. COOKE 3275 COMUNA 8</t>
  </si>
  <si>
    <t>JOHN W. COOKE 3275</t>
  </si>
  <si>
    <t>64124212</t>
  </si>
  <si>
    <t>MOM 3538 - ( POMPEYA )</t>
  </si>
  <si>
    <t>MOM 3538</t>
  </si>
  <si>
    <t>POMPEYA</t>
  </si>
  <si>
    <t>EST.SOLA G.3 PTA. 6 Y 7 - ( CAPITAL FEDERAL )</t>
  </si>
  <si>
    <t>EST.SOLA G.3 PTA. 6 Y 7</t>
  </si>
  <si>
    <t>AV. AMANCIO ALCORTA 3473 (COMUNA 4) CABA</t>
  </si>
  <si>
    <t>AV. AMANCIO ALCORTA 3473</t>
  </si>
  <si>
    <t>4911-1728/1044/9514</t>
  </si>
  <si>
    <t>LISANDRO DE LA TORRE 3648 - ( CABA )</t>
  </si>
  <si>
    <t>LISANDRO DE LA TORRE 3648</t>
  </si>
  <si>
    <t>4484-1614</t>
  </si>
  <si>
    <t>Cel. 011-1531877650/51_x000D_
CAMBIO DOMICILIO A PARTIR 1-6-14</t>
  </si>
  <si>
    <t>V.SARSFIELD 701 ESTAC.BS.AS. GALPON 2 - ( CAPITAL FEDERAL )</t>
  </si>
  <si>
    <t>V.SARSFIELD 701 ESTAC.BS.AS. GALPON 2</t>
  </si>
  <si>
    <t>AV. FERNANDEZ DE LA CRUZ 2340 (COMUNA 8) CABA</t>
  </si>
  <si>
    <t>AV. FERNANDEZ DE LA CRUZ 2340</t>
  </si>
  <si>
    <t>1281</t>
  </si>
  <si>
    <t>4919-3653/3669</t>
  </si>
  <si>
    <t>AV. 27 DE FEBRERO 5631 (COMUNA 8 ) CABA</t>
  </si>
  <si>
    <t>AV. 27 DE FEBRERO 5631</t>
  </si>
  <si>
    <t>4919-6297 / 4919-8240</t>
  </si>
  <si>
    <t>ALFREDO L. PALACIOS 942 (COMUNA 4) CABA</t>
  </si>
  <si>
    <t>ALFREDO L. PALACIOS 942</t>
  </si>
  <si>
    <t>1167</t>
  </si>
  <si>
    <t>11 5302 1454</t>
  </si>
  <si>
    <t>DE 8 A 16</t>
  </si>
  <si>
    <t>RABANAL 2630 - ( CABA )</t>
  </si>
  <si>
    <t>RABANAL 2630</t>
  </si>
  <si>
    <t>BERON DE ASTRADA 2796 - ( VILLA SOLDATI - CABA )</t>
  </si>
  <si>
    <t>BERON DE ASTRADA 2796</t>
  </si>
  <si>
    <t>1424</t>
  </si>
  <si>
    <t>4919-9151 / 8930</t>
  </si>
  <si>
    <t>EST.BS.AS.GALPON 2 - ( CAPITAL FEDERAL )</t>
  </si>
  <si>
    <t>EST.BS.AS.GALPON 2</t>
  </si>
  <si>
    <t>ALBERTO EINSTEIM 1023 - ( CAPITAL FEDERAL )</t>
  </si>
  <si>
    <t>ALBERTO EINSTEIM 1023</t>
  </si>
  <si>
    <t>4911-0997</t>
  </si>
  <si>
    <t>EMILIO LAMARCA 55 - ( CAPITAL FEDERAL )</t>
  </si>
  <si>
    <t>EMILIO LAMARCA 55</t>
  </si>
  <si>
    <t>PERGAMINO 3751 (COMUNA 8 ) CABA</t>
  </si>
  <si>
    <t>PERGAMINO 3751</t>
  </si>
  <si>
    <t>2206-2649</t>
  </si>
  <si>
    <t>ZAVALETA 649 - ( P.PATRICIOS )</t>
  </si>
  <si>
    <t>ZAVALETA 649</t>
  </si>
  <si>
    <t>AV. VARELA 3621 (COMUNA 8 ) CABA</t>
  </si>
  <si>
    <t>AV. VARELA 3621</t>
  </si>
  <si>
    <t>4919-9191</t>
  </si>
  <si>
    <t>AV.CHICLANA 3436 - ( CAPITAL FEDERAL )</t>
  </si>
  <si>
    <t>AV.CHICLANA 3436</t>
  </si>
  <si>
    <t>SAN MARTIN 3090- LANUS OESTE - ( LANUS OESTE )</t>
  </si>
  <si>
    <t xml:space="preserve"> 1</t>
  </si>
  <si>
    <t>SAN MARTIN 3090- LANUS OESTE</t>
  </si>
  <si>
    <t>LANUS OESTE</t>
  </si>
  <si>
    <t>1824</t>
  </si>
  <si>
    <t>4240-9157/MARCELO</t>
  </si>
  <si>
    <t>PEDRO DE MENDOZA 534 - ( PUERTO BS.AS. )</t>
  </si>
  <si>
    <t>PEDRO DE MENDOZA 534</t>
  </si>
  <si>
    <t>GREGORIO POMAR 3499 - ( CAPITAL FEDERAL )</t>
  </si>
  <si>
    <t>GREGORIO POMAR 3499</t>
  </si>
  <si>
    <t>4911-8336</t>
  </si>
  <si>
    <t>MATURIN 2854 - ( PATERNAL )</t>
  </si>
  <si>
    <t>MATURIN 2854</t>
  </si>
  <si>
    <t>PATERNAL</t>
  </si>
  <si>
    <t>1416</t>
  </si>
  <si>
    <t>BERON DE ASTRADA 2814 - ( CAPITAL FEDERAL )</t>
  </si>
  <si>
    <t>BERON DE ASTRADA 2814</t>
  </si>
  <si>
    <t>4912-0082</t>
  </si>
  <si>
    <t>AV.A.ALCORTA 1955 - ( P.PATRICIOS-CAPITAL )</t>
  </si>
  <si>
    <t>AV.A.ALCORTA 1955</t>
  </si>
  <si>
    <t>1284</t>
  </si>
  <si>
    <t>AV.CNEL.ROCA 2896 - ( SOLDATI )</t>
  </si>
  <si>
    <t>AV.CNEL.ROCA 2896</t>
  </si>
  <si>
    <t>1737</t>
  </si>
  <si>
    <t>DR.PEDRO CHUTRO 2451 - ( CAPITAL FEDERAL )</t>
  </si>
  <si>
    <t>DR.PEDRO CHUTRO 2451</t>
  </si>
  <si>
    <t>GRITO DE ASCENCIO 3250 - ( P.PATRICIOS )</t>
  </si>
  <si>
    <t>GRITO DE ASCENCIO 3250</t>
  </si>
  <si>
    <t>4912-3737</t>
  </si>
  <si>
    <t>MONTESQUIEU 464 - ( P.PATRICIOS )</t>
  </si>
  <si>
    <t>MONTESQUIEU 464</t>
  </si>
  <si>
    <t>ANCASTE 3111 (COMUNA 4 ) CABA</t>
  </si>
  <si>
    <t>ANCASTE 3111</t>
  </si>
  <si>
    <t>4911-6745/6562</t>
  </si>
  <si>
    <t>Horario de entrega de 8 a 17</t>
  </si>
  <si>
    <t>DARWIN 85 - ( CAPITAL FEDERAL )</t>
  </si>
  <si>
    <t>DARWIN 85</t>
  </si>
  <si>
    <t>1414</t>
  </si>
  <si>
    <t>4855-2961/2904</t>
  </si>
  <si>
    <t>PERGAMINO 3751 NAVE A (A1 a A5) (COMUNA 8) CABA</t>
  </si>
  <si>
    <t>CTC PERGAMINO 3751 NAVE A (A1 a A5)</t>
  </si>
  <si>
    <t>4600-7464 / 7465</t>
  </si>
  <si>
    <t>DIOGENES TABORDA 844/50 - ( CAPITAL FEDERAL )</t>
  </si>
  <si>
    <t>DIOGENES TABORDA 844/50</t>
  </si>
  <si>
    <t>4911-8793  4912-8</t>
  </si>
  <si>
    <t>MONASTERIO 181 - ( P.PATRICIOS )</t>
  </si>
  <si>
    <t>MONASTERIO 181</t>
  </si>
  <si>
    <t>4308-4272</t>
  </si>
  <si>
    <t>G.DE ASCENCIO 3141 - ( P.PATRICIOS )</t>
  </si>
  <si>
    <t>G.DE ASCENCIO 3141</t>
  </si>
  <si>
    <t>AU RICCHERI Y BOULOGNE SUR MER NAVE D3 - ( TAPIALES -BS AS )</t>
  </si>
  <si>
    <t>AU RICCHERI Y BOULOGNE SUR MER NAVE D3</t>
  </si>
  <si>
    <t>1771</t>
  </si>
  <si>
    <t>4480-6666</t>
  </si>
  <si>
    <t>int 3 ( contrareembolso)_x000D_
LUNES A VIERNES 8 A 17 MERCADO CENTRAL</t>
  </si>
  <si>
    <t>PEDRO CHUTRO 2457 (COMUNA 4) CABA</t>
  </si>
  <si>
    <t>PEDRO CHUTRO 2457</t>
  </si>
  <si>
    <t>4942-3527</t>
  </si>
  <si>
    <t>ALDECOA 661 - ( AVELLANEDA )</t>
  </si>
  <si>
    <t>ALDECOA 661</t>
  </si>
  <si>
    <t>AVELLANEDA</t>
  </si>
  <si>
    <t>1870</t>
  </si>
  <si>
    <t>4201-1700 Pedro</t>
  </si>
  <si>
    <t>PEDRIEL 1181 - ( CAPITAL FEDERAL )</t>
  </si>
  <si>
    <t>PEDRIEL 1181</t>
  </si>
  <si>
    <t>1296</t>
  </si>
  <si>
    <t>4301-4727</t>
  </si>
  <si>
    <t>MONASTERIO 265 - ( P.PATRICIOS )</t>
  </si>
  <si>
    <t>MONASTERIO 265</t>
  </si>
  <si>
    <t>JUAN JOSE VALLE 2939 - ( CAPITAL FEDERAL )</t>
  </si>
  <si>
    <t>JUAN JOSE VALLE 2939</t>
  </si>
  <si>
    <t>4919-3580</t>
  </si>
  <si>
    <t>info@labersa.com.ar</t>
  </si>
  <si>
    <t>VILLARINO  2375 - ( BARRACAS )</t>
  </si>
  <si>
    <t>VILLARINO  2375</t>
  </si>
  <si>
    <t>BARRACAS</t>
  </si>
  <si>
    <t>43027168</t>
  </si>
  <si>
    <t>ECHEANDIA 5651 - ( CAPITAL FEDERAL )</t>
  </si>
  <si>
    <t>ECHEANDIA 5651</t>
  </si>
  <si>
    <t>TABARET 3136 - ( POMPEYA )</t>
  </si>
  <si>
    <t>TABARET 3136</t>
  </si>
  <si>
    <t>4918-6040</t>
  </si>
  <si>
    <t>PEDRO DE LUJAN 2602 ESQ.STA.ELENA - ( CAPITAL FEDERAL )</t>
  </si>
  <si>
    <t>PEDRO DE LUJAN 2602 ESQ.STA.ELENA</t>
  </si>
  <si>
    <t>1294</t>
  </si>
  <si>
    <t>4302-7972</t>
  </si>
  <si>
    <t>RIO CUARTO (N) 3931 (COMUNA 4) CABA</t>
  </si>
  <si>
    <t>RIO CUARTO (N) 3931</t>
  </si>
  <si>
    <t>4912-7909 / 54911 5324-4384</t>
  </si>
  <si>
    <t>VIRREY LINIERS 1350 - ( CAPITAL FEDERAL )</t>
  </si>
  <si>
    <t>VIRREY LINIERS 1350</t>
  </si>
  <si>
    <t>1241</t>
  </si>
  <si>
    <t>BERON DE ASTRADA 2861 - ( CAPITAL FEDERAL )</t>
  </si>
  <si>
    <t>BERON DE ASTRADA 2861</t>
  </si>
  <si>
    <t>MONASTERIO 269 - ( CAPITAL FEDERAL )</t>
  </si>
  <si>
    <t>MONASTERIO 269</t>
  </si>
  <si>
    <t>1283</t>
  </si>
  <si>
    <t>4308-3438</t>
  </si>
  <si>
    <t>LUNA 1299 GALPON 11 ESTACION SOLA B FERROCARGA - ( CAPITAL FEDERAL )</t>
  </si>
  <si>
    <t>LUNA 1299 GALPON 11 ESTACION SOLA B FERROCARGA</t>
  </si>
  <si>
    <t>1277</t>
  </si>
  <si>
    <t>15 2666-2519</t>
  </si>
  <si>
    <t>EST.BS.AS.G.4 V.SARSFIELD 701 - ( CAPITAL FEDERAL )</t>
  </si>
  <si>
    <t>EST.BS.AS.G.4 V.SARSFIELD 701</t>
  </si>
  <si>
    <t>LAS PALMAS 2871 - ( NUEVA POMPEYA )</t>
  </si>
  <si>
    <t>LAS PALMAS 2871</t>
  </si>
  <si>
    <t>NUEVA POMPEYA</t>
  </si>
  <si>
    <t>4911-7846/ 4912-0904</t>
  </si>
  <si>
    <t>TRELLES 2735 - ( PATERNAL )</t>
  </si>
  <si>
    <t>TRELLES 2735</t>
  </si>
  <si>
    <t>INT. RABANAL 2630 (COMUNA 8 ) CABA</t>
  </si>
  <si>
    <t>49191158</t>
  </si>
  <si>
    <t>J.MARMOL 854 - ( CAPITAL FEDERAL )</t>
  </si>
  <si>
    <t>J.MARMOL 854</t>
  </si>
  <si>
    <t>1236</t>
  </si>
  <si>
    <t>MARIO BRAVO 254 - ( AVELLANEDA )</t>
  </si>
  <si>
    <t>MARIO BRAVO 254</t>
  </si>
  <si>
    <t>FAMATINA 3039 - ( CAPITAL FEDERAL )</t>
  </si>
  <si>
    <t>FAMATINA 3039</t>
  </si>
  <si>
    <t>JULIO TROXLER 3259</t>
  </si>
  <si>
    <t>4308-1568/4942-9711/9339</t>
  </si>
  <si>
    <t>TEL. CORDOBA 0351-497-7000_x000D_
011 24522816 - martin_x000D_
NOVIEMBRE 2025 CAMBIÓ DIRECCION</t>
  </si>
  <si>
    <t>PJE.HOMERO MANZI 3044 - ( CAPITAL FEDERAL )</t>
  </si>
  <si>
    <t>PJE.HOMERO MANZI 3044</t>
  </si>
  <si>
    <t>AGUSTIN DE VEDIA 3391 - ( POMPEYA-CAP FED )</t>
  </si>
  <si>
    <t>AGUSTIN DE VEDIA 3391</t>
  </si>
  <si>
    <t>4919-9336</t>
  </si>
  <si>
    <t>POTOSI 1965 - VALENTIN ALSINA</t>
  </si>
  <si>
    <t>POTOSI 1965</t>
  </si>
  <si>
    <t>VALENTIN ALSINA</t>
  </si>
  <si>
    <t>1822</t>
  </si>
  <si>
    <t>AV.SAN PEDRITO 3540 - ( SOLDATI )</t>
  </si>
  <si>
    <t>AV.SAN PEDRITO 3540</t>
  </si>
  <si>
    <t>4919-1485</t>
  </si>
  <si>
    <t>O.N.BONAVENA 1255 - ( POMPEYA )</t>
  </si>
  <si>
    <t>O.N.BONAVENA 1255</t>
  </si>
  <si>
    <t>C.M.RAMIREZ 2176 - ( SOLDATI )</t>
  </si>
  <si>
    <t>C.M.RAMIREZ 2176</t>
  </si>
  <si>
    <t>RUTA 197 Nro. 2103 - ( EL TALAR-PACHECO )</t>
  </si>
  <si>
    <t>RUTA 197 Nro. 2103</t>
  </si>
  <si>
    <t>EL TALAR-PACHECO</t>
  </si>
  <si>
    <t>1617</t>
  </si>
  <si>
    <t>DIAZ VELEZ 1269 - ( RAMOS MEJIA )</t>
  </si>
  <si>
    <t>DIAZ VELEZ 1269</t>
  </si>
  <si>
    <t>RAMOS MEJIA</t>
  </si>
  <si>
    <t>1704</t>
  </si>
  <si>
    <t>44887500</t>
  </si>
  <si>
    <t>SANTA ELENA 944 - ( CAPITAL FEDERAL )</t>
  </si>
  <si>
    <t>SANTA ELENA 944</t>
  </si>
  <si>
    <t>1278</t>
  </si>
  <si>
    <t>AUSTRALIA 2758 (COMUNA 4) CABA</t>
  </si>
  <si>
    <t>AUSTRALIA 2758</t>
  </si>
  <si>
    <t>4303-3130</t>
  </si>
  <si>
    <t>MONTESQUIEU 464 - ( PARQUE PATRICIOS )</t>
  </si>
  <si>
    <t>PARQUE PATRICIOS</t>
  </si>
  <si>
    <t>MANUEL R. TRELLES 2681 - ( PATERNAL )</t>
  </si>
  <si>
    <t>MANUEL R. TRELLES 2681</t>
  </si>
  <si>
    <t>5197-2355</t>
  </si>
  <si>
    <t>FERRE 2135 - ( SOLDATI )</t>
  </si>
  <si>
    <t>FERRE 2135</t>
  </si>
  <si>
    <t>CULPINA 3518 - ( SOLDATI )</t>
  </si>
  <si>
    <t>CULPINA 3518</t>
  </si>
  <si>
    <t>4919-4801</t>
  </si>
  <si>
    <t>ESTAC.SOLA G.5 PTA.33 - ( CAPITAL FEDERAL )</t>
  </si>
  <si>
    <t>ESTAC.SOLA G.5 PTA.33</t>
  </si>
  <si>
    <t>AV.OSVALDO CRUZ 2030 - ( CAPITAL FEDERAL )</t>
  </si>
  <si>
    <t>AV.OSVALDO CRUZ 2030</t>
  </si>
  <si>
    <t>1293</t>
  </si>
  <si>
    <t>AGUSTIN DE VEDIA 3050 (COMUNA 4) CABA</t>
  </si>
  <si>
    <t>AGUSTIN DE VEDIA 3050</t>
  </si>
  <si>
    <t>4919-0333/9901</t>
  </si>
  <si>
    <t>AV.TRELLES 2681 - ( PATERNAL )</t>
  </si>
  <si>
    <t>AV.TRELLES 2681</t>
  </si>
  <si>
    <t>FAMATINA 3305 - ( CAPITAL FEDERAL )</t>
  </si>
  <si>
    <t>FAMATINA 3305</t>
  </si>
  <si>
    <t>PERGAMINO 3751 NAVE D 86 A88  (COMUNA 8) CABA</t>
  </si>
  <si>
    <t>PERGAMINO 3751 NAVE D 86 A88</t>
  </si>
  <si>
    <t>4308-0035/8</t>
  </si>
  <si>
    <t>LOS PATOS 2577 (COMUNA 4 ) CABA</t>
  </si>
  <si>
    <t>LOS PATOS 2577</t>
  </si>
  <si>
    <t>4942-6686 / 2628</t>
  </si>
  <si>
    <t>FERRE 2102 (COMUNA 8 ) CABA</t>
  </si>
  <si>
    <t>FERRE 2102</t>
  </si>
  <si>
    <t>BALIÑA 4060 - ( CAPITAL FEDERAL )</t>
  </si>
  <si>
    <t>BALIÑA 4060</t>
  </si>
  <si>
    <t>EUGENIO GARZON 5672 - ( MATADEROS -CABA )</t>
  </si>
  <si>
    <t>EUGENIO GARZON 5672</t>
  </si>
  <si>
    <t>1439</t>
  </si>
  <si>
    <t>4635-9442</t>
  </si>
  <si>
    <t>NECOCHEA 1030 (COMUNA 4) CABA</t>
  </si>
  <si>
    <t>NECOCHEA 1030</t>
  </si>
  <si>
    <t>4361-1705 RUBEN 15 6303-3350</t>
  </si>
  <si>
    <t>LAVARDEN 620 - ( P.PATRICIOS )</t>
  </si>
  <si>
    <t>LAVARDEN 620</t>
  </si>
  <si>
    <t>LAMADRID 258 - ( AVELLANEDA )</t>
  </si>
  <si>
    <t>LAMADRID 258</t>
  </si>
  <si>
    <t>PERGAMINO 3751 MOD 43 NAVE B - ( CABA )</t>
  </si>
  <si>
    <t>PERGAMINO 3751 MOD 43 NAVE B</t>
  </si>
  <si>
    <t xml:space="preserve"> 15-6260-8561</t>
  </si>
  <si>
    <t>TRAFUL 3773 (COMUNA 4 ) CABA</t>
  </si>
  <si>
    <t>TRAFUL 3773</t>
  </si>
  <si>
    <t>4912-5262/7720</t>
  </si>
  <si>
    <t>LAVARDEN 650 - ( P.PATRICIOS )</t>
  </si>
  <si>
    <t>LAVARDEN 650</t>
  </si>
  <si>
    <t>4941-3984</t>
  </si>
  <si>
    <t>CNEL.M.CHILAVERT 3258 (COMUNA 8) CABA</t>
  </si>
  <si>
    <t>CNEL.M.CHILAVERT 3258</t>
  </si>
  <si>
    <t>4919-1368</t>
  </si>
  <si>
    <t>horario de 8 a 17 hs</t>
  </si>
  <si>
    <t>OSCAR BONAVENA 1268 - ( CABA )</t>
  </si>
  <si>
    <t>OSCAR BONAVENA 1268</t>
  </si>
  <si>
    <t>4912-8001</t>
  </si>
  <si>
    <t>ZARATE 6154 - ( VILLA BALLESTER )</t>
  </si>
  <si>
    <t>ZARATE 6154</t>
  </si>
  <si>
    <t>VILLA BALLESTER</t>
  </si>
  <si>
    <t>1653</t>
  </si>
  <si>
    <t>AV. SAN PEDRITO 3466 - ( CAPITAL FEDERAL )</t>
  </si>
  <si>
    <t>AV. SAN PEDRITO 3466</t>
  </si>
  <si>
    <t>4919-1955</t>
  </si>
  <si>
    <t>RIO LIMAY 1472 - ( CAPITAL FEDERAL )</t>
  </si>
  <si>
    <t>RIO LIMAY 1472</t>
  </si>
  <si>
    <t>ANCASTE 3023 - ( CAPITAL FEDERAL )</t>
  </si>
  <si>
    <t>ANCASTE 3023</t>
  </si>
  <si>
    <t>ALTE. FRANCISCO SEGUI 309 - ( CAPITAL FEDERAL )</t>
  </si>
  <si>
    <t>ALTE. FRANCISCO SEGUI 309</t>
  </si>
  <si>
    <t>1406</t>
  </si>
  <si>
    <t>AV. FCO.RABANAL 3159 (COMUNA 8) CABA</t>
  </si>
  <si>
    <t>AV. FCO.RAVANAL 3159</t>
  </si>
  <si>
    <t>4919-0977 / 4918-0428</t>
  </si>
  <si>
    <t>PERGAMINO 3751 NAVE 90/91 nave B (COMUNA 8) CABA</t>
  </si>
  <si>
    <t>PERGAMINO 3751 NAVE 90/91 nave B</t>
  </si>
  <si>
    <t>4919-1334 / 1410</t>
  </si>
  <si>
    <t>FERRE 3254 (COMUNA 8 ) CABA</t>
  </si>
  <si>
    <t>FERRE 3254</t>
  </si>
  <si>
    <t>VELEZ SARSFIELD 1649 (COMUNA 4 ) CABA</t>
  </si>
  <si>
    <t>VELEZ SARSFIELD 1649</t>
  </si>
  <si>
    <t>1285</t>
  </si>
  <si>
    <t>4302-2328</t>
  </si>
  <si>
    <t>SALOM 667 - ( CAPITAL FEDERAL )</t>
  </si>
  <si>
    <t>SALOM 667</t>
  </si>
  <si>
    <t>4302-1143</t>
  </si>
  <si>
    <t>POZO DE VARGAS 3222 - ( DON TORCUATO )</t>
  </si>
  <si>
    <t>POZO DE VARGAS 3222</t>
  </si>
  <si>
    <t>DON TORCUATO</t>
  </si>
  <si>
    <t>AV.AMANCIO ALCORTA 1955 - ( CAPITAL FEDERAL )</t>
  </si>
  <si>
    <t>AV.AMANCIO ALCORTA 1955</t>
  </si>
  <si>
    <t>LUNA 666 - ( CAPITAL FEDERAL )</t>
  </si>
  <si>
    <t>LUNA 666</t>
  </si>
  <si>
    <t>INT. RABANAL FCO. 2354 (EX AV.ROCA) - ( CAPITAL FEDERAL )</t>
  </si>
  <si>
    <t>INT. RABANAL FCO. 2354 (EX AV.ROCA)</t>
  </si>
  <si>
    <t>49184186</t>
  </si>
  <si>
    <t>CONCORDIA 1515 - ( CAPITAL FEDERAL )</t>
  </si>
  <si>
    <t>CONCORDIA 1515</t>
  </si>
  <si>
    <t>LAS CASAS 3553 (COMUNA 5) CABA</t>
  </si>
  <si>
    <t>AV. LAS CASAS 3553/57/61</t>
  </si>
  <si>
    <t>4116-5959 - 4116-5960</t>
  </si>
  <si>
    <t>ZELARRAYAN 5982 - ( CAPITAL FEDERAL )</t>
  </si>
  <si>
    <t>ZELARRAYAN 5982</t>
  </si>
  <si>
    <t>RIO CUARTO 1151 - ( CAPITAL FEDERAL )</t>
  </si>
  <si>
    <t>RIO CUARTO 1151</t>
  </si>
  <si>
    <t>MONTIEL 5951 - ( VILLA LUGANO )</t>
  </si>
  <si>
    <t>MONTIEL 5951</t>
  </si>
  <si>
    <t>VILLA LUGANO</t>
  </si>
  <si>
    <t>VARELA 3687 - ( CAPITAL FEDERAL )</t>
  </si>
  <si>
    <t>VARELA 3687</t>
  </si>
  <si>
    <t>49198608 / 49196697 / 49191742</t>
  </si>
  <si>
    <t>21</t>
  </si>
  <si>
    <t>JOSE CORTEJARENA 2954 - ( P.PATRICIOS-CAPITAL )</t>
  </si>
  <si>
    <t>JOSE CORTEJARENA 2954</t>
  </si>
  <si>
    <t>CESAR DIAZ 3683 - ( VILLA DEL PARQUE )</t>
  </si>
  <si>
    <t>CESAR DIAZ 3683</t>
  </si>
  <si>
    <t>VILLA DEL PARQUE</t>
  </si>
  <si>
    <t>QUINQUELA MARTIN 1344 - ( CAPITAL FEDERAL )</t>
  </si>
  <si>
    <t>QUINQUELA MARTIN 1344</t>
  </si>
  <si>
    <t>PERGAMINO 3751 NAVE B MOD41 (COMUNA 8) CABA</t>
  </si>
  <si>
    <t>C.T.C. PERGAMINO 3751 NAVE B MOD41</t>
  </si>
  <si>
    <t>2206-2630</t>
  </si>
  <si>
    <t>PEPIRI 1543 (COMUNA 4 ) CABA</t>
  </si>
  <si>
    <t>PEPIRI 1543</t>
  </si>
  <si>
    <t>4912-1777/8/9</t>
  </si>
  <si>
    <t>ESTACION BS.AS. OLAVARRI8A Y LUNA - ( POMPEYA )</t>
  </si>
  <si>
    <t>ESTACION BS.AS. OLAVARRI8A Y LUNA</t>
  </si>
  <si>
    <t>4301-0386/1146</t>
  </si>
  <si>
    <t>PERGAMINO 3751 NAVE B MOD 50 (COMUNA 8) CABA</t>
  </si>
  <si>
    <t>C.T.C. PERGAMINO 3751 NAVE B MOD 50</t>
  </si>
  <si>
    <t>4600-7498</t>
  </si>
  <si>
    <t>CALLE 5 Y 10 VILLA 31 - RETIRO - ( CABA )</t>
  </si>
  <si>
    <t>CALLE 5 Y 10 VILLA 31 - RETIRO</t>
  </si>
  <si>
    <t>MADARIAGA 3531 (SAN JUSTO)</t>
  </si>
  <si>
    <t>MADARIAGA 3531 - SAN JUSTO</t>
  </si>
  <si>
    <t>SAN JUSTO</t>
  </si>
  <si>
    <t>1754</t>
  </si>
  <si>
    <t>4484-3515</t>
  </si>
  <si>
    <t>RECEPCION DE CARGA _x000D_
LUNES y MIERCOLES 8 A 13 y 14 A 18_x000D_
MARTES, JUEVES Y VIERNES 14 A 18</t>
  </si>
  <si>
    <t>AV. PINEDO 50 Estac.Sola Galpon Nº1 21,22 y 23 - ( CABA )</t>
  </si>
  <si>
    <t>AV. PINEDO 50 Estac.Sola Galpon Nº1 21,22 y 23</t>
  </si>
  <si>
    <t>4911-7744 156-1521844</t>
  </si>
  <si>
    <t>C.M.RAMIREZ 2204 - ( SOLDATI-CAPITAL )</t>
  </si>
  <si>
    <t>C.M.RAMIREZ 2204</t>
  </si>
  <si>
    <t>SAN PEDRITO 3450 - ( VILLA SOLDATI )</t>
  </si>
  <si>
    <t>SAN PEDRITO 3450</t>
  </si>
  <si>
    <t>VILLA SOLDATI</t>
  </si>
  <si>
    <t>MUÑIZ 2080 - ( CAPITAL FEDERAL )</t>
  </si>
  <si>
    <t>MUÑIZ 2080</t>
  </si>
  <si>
    <t>4921-0605</t>
  </si>
  <si>
    <t>LUPI 1449 - ( CAPITAL FEDERAL )</t>
  </si>
  <si>
    <t>LUPI 1449</t>
  </si>
  <si>
    <t>FERRE 2775 - ( CAPITAL FEDERAL )</t>
  </si>
  <si>
    <t>FERRE 2775</t>
  </si>
  <si>
    <t>FERRE 2656 - ( VILLA SOLDATI )</t>
  </si>
  <si>
    <t>FERRE 2656</t>
  </si>
  <si>
    <t>4919-9395</t>
  </si>
  <si>
    <t>TRELLES 638 - ( CABA )</t>
  </si>
  <si>
    <t>TRELLES 638</t>
  </si>
  <si>
    <t>4632-3411</t>
  </si>
  <si>
    <t>PERGAMINO 3751 NAVE 7 MOD C-57 (COMUNA 8) CABA</t>
  </si>
  <si>
    <t>C.T.C. PERGAMINO 3751 NAVE 7 MOD C-57</t>
  </si>
  <si>
    <t>156-0580092</t>
  </si>
  <si>
    <t>B.Q.MARTIN 1391 - ( CAPITAL FEDERAL )</t>
  </si>
  <si>
    <t>B.Q.MARTIN 1391</t>
  </si>
  <si>
    <t>SAN PEDRO DE JUJUY 101 (DE SALGUERO 3 - ( CAPITAL FEDERAL )</t>
  </si>
  <si>
    <t>SAN PEDRO DE JUJUY 101 (DE SALGUERO 3</t>
  </si>
  <si>
    <t>4802-6139</t>
  </si>
  <si>
    <t>PERGAMINO 3751 Módulo C-79 - ( CAPITAL FEDERAL )</t>
  </si>
  <si>
    <t>PERGAMINO 3751 Módulo C-79</t>
  </si>
  <si>
    <t>4600-7485</t>
  </si>
  <si>
    <t>RIVERA INDARTE 2749 (COMUNA 8 ) CABA</t>
  </si>
  <si>
    <t>RIVERA INDARTE 2749</t>
  </si>
  <si>
    <t>4918-2649</t>
  </si>
  <si>
    <t>BERON DE ASTRADA 2546 - ( CAPITAL FEDERAL )</t>
  </si>
  <si>
    <t>BERON DE ASTRADA 2546</t>
  </si>
  <si>
    <t>4600-7473/4</t>
  </si>
  <si>
    <t>PEDRO BALIÑA Y PEPIRI (EST. DE CARGA SERENA) - ( CAPITAL FEDERAL )</t>
  </si>
  <si>
    <t>PEDRO BALIÑA Y PEPIRI (EST. DE CARGA SERENA)</t>
  </si>
  <si>
    <t>4912 2164 / 4911 8552</t>
  </si>
  <si>
    <t>FAMATINA 3305 - ( POMPEYA )</t>
  </si>
  <si>
    <t>Juan Jose Valle 2933 - ( POMPEYA )</t>
  </si>
  <si>
    <t>Juan Jose Valle 2933</t>
  </si>
  <si>
    <t>4918-0407</t>
  </si>
  <si>
    <t>B. ASTRADA 2085 - ( POMPEYA )</t>
  </si>
  <si>
    <t>B. ASTRADA 2085</t>
  </si>
  <si>
    <t>AV. FRANCISCO RAVANAL 2886 - ( CAPITAL FEDERAL )</t>
  </si>
  <si>
    <t>AV. FRANCISCO RAVANAL 2886</t>
  </si>
  <si>
    <t>4919-9698/0075</t>
  </si>
  <si>
    <t>EX AV. ROCA</t>
  </si>
  <si>
    <t>CNEL.E.BONORINO 3255 - ( CAPITAL FEDERAL )</t>
  </si>
  <si>
    <t>CNEL.E.BONORINO 3255</t>
  </si>
  <si>
    <t>PERGAMINO 3751 NAV 2 MOD 53 AL 55 (COMUNA 8 ) CABA</t>
  </si>
  <si>
    <t>CTC PERGAMINO 3751 NAV 2 MOD 53 AL 55</t>
  </si>
  <si>
    <t>3754-7241 AL 7246</t>
  </si>
  <si>
    <t>VILLARINO 2375 (COMUNA 4) CABA</t>
  </si>
  <si>
    <t>VILLARINO 2375</t>
  </si>
  <si>
    <t>1273</t>
  </si>
  <si>
    <t xml:space="preserve"> (011) 302 7162 / (011) 15 6885 8338</t>
  </si>
  <si>
    <t>PEPIRI  1340 - ( POMPEYA )</t>
  </si>
  <si>
    <t>PEPIRI  1340</t>
  </si>
  <si>
    <t>4911-8775/0741</t>
  </si>
  <si>
    <t>PERGAMINO 3751 NAVE C MOD 58/59/60 (COMUNA 8) CABA</t>
  </si>
  <si>
    <t>PERGAMINO 3751 NAVE C MOD 58/59/60</t>
  </si>
  <si>
    <t>46007450/1/2/3/4/5</t>
  </si>
  <si>
    <t>RAFAELA 4710 - ( CAPITAL FEDERAL )</t>
  </si>
  <si>
    <t>RAFAELA 4710</t>
  </si>
  <si>
    <t>4671-4000</t>
  </si>
  <si>
    <t>SALGUERO 3451  MERCADO SALDIAS - ( CAPITAL FEDERAL )</t>
  </si>
  <si>
    <t>SALGUERO 3451  MERCADO SALDIAS</t>
  </si>
  <si>
    <t>4802-8528</t>
  </si>
  <si>
    <t>PERGAMINO 3562/64/68 - ( POMPEYA )</t>
  </si>
  <si>
    <t>PERGAMINO 3562/64/68</t>
  </si>
  <si>
    <t>4919-7519</t>
  </si>
  <si>
    <t>AEROP. J NEWBERY ESP. CARGAS - ( PALERMO )</t>
  </si>
  <si>
    <t>AEROP. J NEWBERY ESP. CARGAS</t>
  </si>
  <si>
    <t>PALERMO</t>
  </si>
  <si>
    <t>4778-0039</t>
  </si>
  <si>
    <t>AMANCIO ALCORTA 2733 - ( CAPITAL FEDERAL )</t>
  </si>
  <si>
    <t>4942-3565</t>
  </si>
  <si>
    <t>BERON DE ASTRADA 2814 - ( CAPITAL )</t>
  </si>
  <si>
    <t>4919-4035</t>
  </si>
  <si>
    <t>S.M.DEL BUEN AYRE 1409 - ( CAPITAL FEDERAL )</t>
  </si>
  <si>
    <t>S.M.DEL BUEN AYRE 1409</t>
  </si>
  <si>
    <t>4303-3002/4820</t>
  </si>
  <si>
    <t>AV.SAENZ 1469 - ( CAPITAL FEDERAL )</t>
  </si>
  <si>
    <t>AV.SAENZ 1469</t>
  </si>
  <si>
    <t>4919-7148</t>
  </si>
  <si>
    <t>BERON DE ASTRADA 2791 - ( CAPITAL FEDERAL )</t>
  </si>
  <si>
    <t>BERON DE ASTRADA 2791</t>
  </si>
  <si>
    <t>011 49190291</t>
  </si>
  <si>
    <t>JOSE MARTI 3327/9 - ( ESTAC.VILLA SOLDATI )</t>
  </si>
  <si>
    <t>JOSE MARTI 3327/9</t>
  </si>
  <si>
    <t>4918-5048</t>
  </si>
  <si>
    <t>MONTEAGUDO 757- PQUE PATRICIOS - ( CAPITAL FEDERAL )</t>
  </si>
  <si>
    <t>MONTEAGUDO 757- PQUE PATRICIOS</t>
  </si>
  <si>
    <t>4912-2700</t>
  </si>
  <si>
    <t>3 CUADRAS CANCHA HURACAN</t>
  </si>
  <si>
    <t>LAVARDEN 250 - ( P.PATRICIOS )</t>
  </si>
  <si>
    <t>LAVARDEN 250</t>
  </si>
  <si>
    <t>4942-0444/4901</t>
  </si>
  <si>
    <t>DR P BALIÑA 4060 - ( CAPITAL FEDERAL )</t>
  </si>
  <si>
    <t>DR P BALIÑA 4060</t>
  </si>
  <si>
    <t>A.NUNEZ 234 - ( CAPITAL FEDERAL )</t>
  </si>
  <si>
    <t>A.NUNEZ 234</t>
  </si>
  <si>
    <t>PEDRO CHUTRO  2446 - ( CAPITAL FEDERAL )</t>
  </si>
  <si>
    <t>PEDRO CHUTRO  2446</t>
  </si>
  <si>
    <t>4941-0985/3883</t>
  </si>
  <si>
    <t>PERDRIEL 885 - ( CAPITAL FEDERAL )</t>
  </si>
  <si>
    <t>PERDRIEL 885</t>
  </si>
  <si>
    <t>1280</t>
  </si>
  <si>
    <t>4686-5933/4686-5158</t>
  </si>
  <si>
    <t>SAN PEDRITO 3466 - ( CAPITAL FEDERAL )</t>
  </si>
  <si>
    <t>SAN PEDRITO 3466</t>
  </si>
  <si>
    <t>4911-3238 / 0341-154684010</t>
  </si>
  <si>
    <t>GRITO DE ASCENCIO 3759 - ( P.PATRICIOS )</t>
  </si>
  <si>
    <t>GRITO DE ASCENCIO 3759</t>
  </si>
  <si>
    <t>4911-2083</t>
  </si>
  <si>
    <t>DR. LUIS PEDRO BALIÑA 4060 - ( PARQUE PATRICIOS )</t>
  </si>
  <si>
    <t>DR. LUIS PEDRO BALIÑA 4060</t>
  </si>
  <si>
    <t>4912-2164 / 4911-8552</t>
  </si>
  <si>
    <t>SANTO DOMINGO 2669 - ( CAPITAL FEDERAL )</t>
  </si>
  <si>
    <t>SANTO DOMINGO 2669</t>
  </si>
  <si>
    <t>1558862656</t>
  </si>
  <si>
    <t>LISANDRO DE LA TORRE 3945 (COMUNA 8) CABA</t>
  </si>
  <si>
    <t>LISANDRO DE LA TORRE 3945</t>
  </si>
  <si>
    <t>4638-3138/6640</t>
  </si>
  <si>
    <t>AV. PINEDO ESTACION. SOLA GALPON 5 PTA 1 (COMUNA 4 ) CABA</t>
  </si>
  <si>
    <t>AV. PINEDO ESTACION. SOLA GALPON 5 PTA 1</t>
  </si>
  <si>
    <t>4303-5050</t>
  </si>
  <si>
    <t>PARACAS 253 - ( CAPITAL FEDERAL )</t>
  </si>
  <si>
    <t>PARACAS 253</t>
  </si>
  <si>
    <t>4305-7097 / 7063</t>
  </si>
  <si>
    <t>GRAL. F. RIVERA 2541 (COMUNA 8) CABA</t>
  </si>
  <si>
    <t>FRUCTUOSO RIVERA 2541</t>
  </si>
  <si>
    <t>3956-3290</t>
  </si>
  <si>
    <t>O. GORMAN 3016 - ( VILLA SOLDATI )</t>
  </si>
  <si>
    <t>O. GORMAN 3016</t>
  </si>
  <si>
    <t>CMNO.CINTURA 3057 (M.BUFANO) - ( SAN JUSTO )</t>
  </si>
  <si>
    <t>CMNO.CINTURA 3057 (M.BUFANO)</t>
  </si>
  <si>
    <t>4484-8228/9229</t>
  </si>
  <si>
    <t>TABARE 3136 - ( CAPITAL FEDERAL )</t>
  </si>
  <si>
    <t>TABARE 3136</t>
  </si>
  <si>
    <t>FERRE 2520 (COMUNA 8) CABA</t>
  </si>
  <si>
    <t>FERRE 2520</t>
  </si>
  <si>
    <t>4919-9461</t>
  </si>
  <si>
    <t>J.C.PAZ 2965 - ( PARQUE PATRICIOS )</t>
  </si>
  <si>
    <t>J.C.PAZ 2965</t>
  </si>
  <si>
    <t>5091-0110</t>
  </si>
  <si>
    <t>FERRE 3254 - ( CABA )</t>
  </si>
  <si>
    <t>4918-7424 / 8126</t>
  </si>
  <si>
    <t>STO DOMINGO 2747 - ( CAPITAL FEDERAL )</t>
  </si>
  <si>
    <t>STO DOMINGO 2747</t>
  </si>
  <si>
    <t>4301-0504</t>
  </si>
  <si>
    <t>PERGAMINO 3751 CTC MOD 49 - ( CABA )</t>
  </si>
  <si>
    <t>PERGAMINO 3751 CTC MOD 49</t>
  </si>
  <si>
    <t>3779-5919</t>
  </si>
  <si>
    <t>TERMINAL MICROS RETIRO - ( RETIRO )</t>
  </si>
  <si>
    <t>TERMINAL MICROS RETIRO</t>
  </si>
  <si>
    <t>RETIRO</t>
  </si>
  <si>
    <t>ECHEANDIA 5651 ALTURA LARRAZABAL 2800 - ( CAPITAL FEDERAL )</t>
  </si>
  <si>
    <t>ECHEANDIA 5651 ALTURA LARRAZABAL 2800</t>
  </si>
  <si>
    <t>4638-2595</t>
  </si>
  <si>
    <t>EST. SOLA GALPON 5 PUERTA 11 - ( CAPITAL FEDERAL )</t>
  </si>
  <si>
    <t>EST. SOLA GALPON 5 PUERTA 11</t>
  </si>
  <si>
    <t>4301-3925</t>
  </si>
  <si>
    <t>TROXLER 3190 (COMUNA 8) CABA</t>
  </si>
  <si>
    <t>TROXLER 3190</t>
  </si>
  <si>
    <t>0353-15461609</t>
  </si>
  <si>
    <t>CAMBIO DE DOMICILIO 5-3-18_x000D_
CAMBIO DE DOMICILIO 15-07-24</t>
  </si>
  <si>
    <t>AV. PINEDO 1050 EST SOLA GALPON 5 PUERTAS 16 a 19 (COMUNA 4) CABA</t>
  </si>
  <si>
    <t>AV. PINEDO 1050 EST, SOLÁ GALPON 5 PUERTAS 16 a 19</t>
  </si>
  <si>
    <t>4302-7296/6842</t>
  </si>
  <si>
    <t>LINIERS - ( LINIERS )</t>
  </si>
  <si>
    <t>LINIERS</t>
  </si>
  <si>
    <t>CASTAÑON 3651 (COMUNA 8 ) CABA</t>
  </si>
  <si>
    <t>CASTAÑON 3651</t>
  </si>
  <si>
    <t>4919-5572</t>
  </si>
  <si>
    <t>CASTANON 3561 - ( P.PATRICIOS-CAPITAL )</t>
  </si>
  <si>
    <t>CASTANON 3561</t>
  </si>
  <si>
    <t>TROLE 267 - ( POMPEYA )</t>
  </si>
  <si>
    <t>TROLE 267</t>
  </si>
  <si>
    <t>4923-1425/8292/4834</t>
  </si>
  <si>
    <t>MONTEAGUDO 754 (COMUNA 4) CABA</t>
  </si>
  <si>
    <t>MONTEAGUDO 754</t>
  </si>
  <si>
    <t>4912-0610</t>
  </si>
  <si>
    <t>PERGAMINO 3751 NAVE B MOD 44 (COMUNA 8) CABA</t>
  </si>
  <si>
    <t>PERGAMINO 3751 NAVE B MOD 44</t>
  </si>
  <si>
    <t>3754-7215 - 3754-7216</t>
  </si>
  <si>
    <t>LABARDEN 840 - ( CAPITAL FEDERAL )</t>
  </si>
  <si>
    <t>LABARDEN 840</t>
  </si>
  <si>
    <t>PINEDO 50 GALPON 4 ptas 8 a 17 estacion sola (COMUNA 4 ) CABA</t>
  </si>
  <si>
    <t>PINEDO 50 GALPON 4 ptas 8 a 17 estacion sola</t>
  </si>
  <si>
    <t>4302-4405</t>
  </si>
  <si>
    <t>Santo Domingo 3930 - ( Pompeya )</t>
  </si>
  <si>
    <t>SANTO DOMINGO 3930</t>
  </si>
  <si>
    <t>4911-4612</t>
  </si>
  <si>
    <t>1407</t>
  </si>
  <si>
    <t>4674-1777</t>
  </si>
  <si>
    <t>PEPIRI 1535 (COMUNA 4 ) CABA</t>
  </si>
  <si>
    <t>PEPIRI 1535</t>
  </si>
  <si>
    <t>4912-3123 / 0299-154090728</t>
  </si>
  <si>
    <t>AV. A.ALCORTA 2773 (COMUNA 4) CABA</t>
  </si>
  <si>
    <t>AV. AMANCIO ALCORTA 2773</t>
  </si>
  <si>
    <t>4308-3415/4033</t>
  </si>
  <si>
    <t>expresoformosabue@hotmail.com</t>
  </si>
  <si>
    <t>ALVAR NUÑEZ 250 - ( CAPITAL FEDERAL )</t>
  </si>
  <si>
    <t>ALVAR NUÑEZ 250</t>
  </si>
  <si>
    <t>1163</t>
  </si>
  <si>
    <t>4301-7518</t>
  </si>
  <si>
    <t>HORARIO DE RECEPCION DE 8 A 13 Y DE 14 A 18</t>
  </si>
  <si>
    <t>VARELA 3096 - ( CAPITAL FEDERAL )</t>
  </si>
  <si>
    <t>VARELA 3096</t>
  </si>
  <si>
    <t>4918-4482</t>
  </si>
  <si>
    <t>4943-2905 / 3514020597</t>
  </si>
  <si>
    <t>LUINES A VIERNES 8 A 17 HS</t>
  </si>
  <si>
    <t>PERGAMINO 3751 MOD 1 NAVE 9 (COMUNA 8 ) CABA</t>
  </si>
  <si>
    <t>PERGAMINO 3751 MOD 1 NAVE 9</t>
  </si>
  <si>
    <t>4600-7480</t>
  </si>
  <si>
    <t>PEDRO CHUTRO 2457 - ( CAPITAL FEDERAL )</t>
  </si>
  <si>
    <t>JOSE MARMOL 824 - ( CAPITAL FEDERAL )</t>
  </si>
  <si>
    <t>JOSE MARMOL 824</t>
  </si>
  <si>
    <t>4923-7083 / 4922-1257</t>
  </si>
  <si>
    <t>RIO LIMAY 1460 - ( CAPITAL FEDERAL )</t>
  </si>
  <si>
    <t>RIO LIMAY 1460</t>
  </si>
  <si>
    <t>4302-6263 / 4302-6265</t>
  </si>
  <si>
    <t>RIO CUARTO 1948 Y HERNANDARIAS - ( CAP. FED. )</t>
  </si>
  <si>
    <t>RIO CUARTO 1948 Y HERNANDARIAS</t>
  </si>
  <si>
    <t>C.T.C. PERGAMINO 3751 NAVE 2 MOD 84 - ( CAPITAL FEDERAL )</t>
  </si>
  <si>
    <t>C.T.C. PERGAMINO 3751 NAVE 2 MOD 84</t>
  </si>
  <si>
    <t>2206-2640</t>
  </si>
  <si>
    <t>JULIO TROXLER 3120 - ( VILLA SOLDATI- CAP.FED )</t>
  </si>
  <si>
    <t>JULIO TROXLER 3120</t>
  </si>
  <si>
    <t>4919-5172/0044/9433</t>
  </si>
  <si>
    <t>PARACAS 261 (COMUNA 4) CABA</t>
  </si>
  <si>
    <t>PARACAS 261</t>
  </si>
  <si>
    <t>1275</t>
  </si>
  <si>
    <t>4304-9969</t>
  </si>
  <si>
    <t>JOHN W. COOKE 3185 (COMUNA 8) CABA</t>
  </si>
  <si>
    <t>JOHN W. COOKE 3185</t>
  </si>
  <si>
    <t>4741-1200 (Torcuato) 4918-0016 / 7789 (Pedernera)</t>
  </si>
  <si>
    <t>GUARANI Nº 315 - ( PQUE. PATRICIOS CAP. FED. )</t>
  </si>
  <si>
    <t>GUARANI Nº 315</t>
  </si>
  <si>
    <t>4911-3459/4912-4418</t>
  </si>
  <si>
    <t>e-mail: transluke@speedy.com.ar</t>
  </si>
  <si>
    <t>PERGAMINO 3751 NAVE B MOD.51 (COMUNA 8 ) CABA</t>
  </si>
  <si>
    <t>C.T.C. PERGAMINO 3751 NAVE B MOD.51</t>
  </si>
  <si>
    <t xml:space="preserve"> 15 5487-3118  Tomas</t>
  </si>
  <si>
    <t>AV.RAVANAL 2896 - ( CAPITAL FEDERAL )</t>
  </si>
  <si>
    <t>AV.RAVANAL 2896</t>
  </si>
  <si>
    <t>USPALLATA 2653 - ( CAPITAL FEDERAL )</t>
  </si>
  <si>
    <t>SANTA CATALINA 2115 - ( CAPITAL FEDERAL )</t>
  </si>
  <si>
    <t>SANTA CATALINA 2115</t>
  </si>
  <si>
    <t>SARMIENTO 3481 - ( CAPITAL FEDERAL )</t>
  </si>
  <si>
    <t>SARMIENTO 3481</t>
  </si>
  <si>
    <t>1196</t>
  </si>
  <si>
    <t>4865-7291</t>
  </si>
  <si>
    <t>USPALLATA 2638 - ( P.PATRICIOS-CAPITAL )</t>
  </si>
  <si>
    <t>USPALLATA 2638</t>
  </si>
  <si>
    <t>4942-6684</t>
  </si>
  <si>
    <t>ZUVIRIA 6571 (COMUNA 8 ) CABA</t>
  </si>
  <si>
    <t>ZUVIRIA 6571</t>
  </si>
  <si>
    <t>4601 4601/4455</t>
  </si>
  <si>
    <t>va a salta-tucuman</t>
  </si>
  <si>
    <t>MONTEAGUDO Nº 493 - ( CAPITAL FEDERAL )</t>
  </si>
  <si>
    <t>MONTEAGUDO Nº 493</t>
  </si>
  <si>
    <t>4912-6358</t>
  </si>
  <si>
    <t>VELEZ SARDFIELD 701 - ( PQUE. PATRICIOS )</t>
  </si>
  <si>
    <t>VELEZ SARDFIELD 701</t>
  </si>
  <si>
    <t>4912-2164</t>
  </si>
  <si>
    <t>JOSE MARMOL Nº 854 - ( CAPITAL FEDERAL )</t>
  </si>
  <si>
    <t>JOSE MARMOL Nº 854</t>
  </si>
  <si>
    <t>4922-6627</t>
  </si>
  <si>
    <t>BENITO QUINQUELA MARTIN Nº 1391 - ( CAPITAL FEDERAL )</t>
  </si>
  <si>
    <t>BENITO QUINQUELA MARTIN Nº 1391</t>
  </si>
  <si>
    <t>AGUSTIN DE VEDIA 3391 - ( CAPITAL FEDERAL )</t>
  </si>
  <si>
    <t>MONTEAGUDO 459 - ( CAPITAL FEDERAL )</t>
  </si>
  <si>
    <t>MONTEAGUDO 459</t>
  </si>
  <si>
    <t>MATURIN 2470 - ( CAPITAL FEDERAL )</t>
  </si>
  <si>
    <t>MATURIN 2470</t>
  </si>
  <si>
    <t>4581-3716</t>
  </si>
  <si>
    <t>PEPIRI 1386 - ( POMPEYA-CAP FED )</t>
  </si>
  <si>
    <t>PEPIRI 1386</t>
  </si>
  <si>
    <t>4911-2299</t>
  </si>
  <si>
    <t>PEDRO CHUTRO 2440 - ( PQUE PATRICIOS-CAP FED )</t>
  </si>
  <si>
    <t>PEDRO CHUTRO 2440</t>
  </si>
  <si>
    <t>PORTELA 3479 - ( POMPEYA )</t>
  </si>
  <si>
    <t>PORTELA 3479</t>
  </si>
  <si>
    <t>4919-0991/6148</t>
  </si>
  <si>
    <t>FERRE 2117 - ( SOLDATI-CAP FED )</t>
  </si>
  <si>
    <t>FERRE 2117</t>
  </si>
  <si>
    <t>4918-7016</t>
  </si>
  <si>
    <t>SANTA CATALINA 2151 - ( SOLDATI -CABA )</t>
  </si>
  <si>
    <t>SANTA CATALINA 2151</t>
  </si>
  <si>
    <t>40724167</t>
  </si>
  <si>
    <t>ECHEANDIA  5661 - ( CAPITAL FEDERAL )</t>
  </si>
  <si>
    <t>ECHEANDIA  5661</t>
  </si>
  <si>
    <t>TROXLER, JULIO 3220 (COMUNA 8) CABA</t>
  </si>
  <si>
    <t>JULIO A. TROXLER 3220</t>
  </si>
  <si>
    <t>4928-4060 - 4139 7592 / 3 4180-0443</t>
  </si>
  <si>
    <t>CHARRU 3661 - ( VILLA SOLDATI -CABA )</t>
  </si>
  <si>
    <t>CHARRU 3661</t>
  </si>
  <si>
    <t>49186731</t>
  </si>
  <si>
    <t>ZUVIRIA 6571 - ( CAPITAL FEDERAL )</t>
  </si>
  <si>
    <t>4601-4601</t>
  </si>
  <si>
    <t>SUAREZ 2761 - ( CAPITAL FEDERAL )</t>
  </si>
  <si>
    <t>SUAREZ 2761</t>
  </si>
  <si>
    <t>4301-6750</t>
  </si>
  <si>
    <t>PEDRO CHUTRO Nº 2451 - ( CAPITAL FEDERAL )</t>
  </si>
  <si>
    <t>PEDRO CHUTRO Nº 2451</t>
  </si>
  <si>
    <t>4943-7309</t>
  </si>
  <si>
    <t>VELES SARSFIELD 701.EST.BS.AS.G.1 - ( CAPITAL FEDERAL )</t>
  </si>
  <si>
    <t>VELES SARSFIELD 701.EST.BS.AS.G.1</t>
  </si>
  <si>
    <t>4301-9735</t>
  </si>
  <si>
    <t>SAN PEDRITO 3731 (COMUNA 8) CABA</t>
  </si>
  <si>
    <t>SAN PEDRITO 3731</t>
  </si>
  <si>
    <t>4918-2224</t>
  </si>
  <si>
    <t>4919-0976/4919-7426</t>
  </si>
  <si>
    <t>eduardodifabio@infovia.com.ar_x000D_
EX. SANRAFAELINO / EX DI FABIO</t>
  </si>
  <si>
    <t>PERGAMINO 1939 (ALT AV. P. MORENO 3300) - ( CAPITAL FEDERAL )</t>
  </si>
  <si>
    <t>PERGAMINO 1939 (ALT AV. P. MORENO 3300)</t>
  </si>
  <si>
    <t>4611-1783</t>
  </si>
  <si>
    <t>PERGAMINO 3751 NAVE B 32 A 37 (COMUNA 8) CABA</t>
  </si>
  <si>
    <t>CTC PERGAMINO 3751 NAVE B 32 A 37</t>
  </si>
  <si>
    <t>3754-7249</t>
  </si>
  <si>
    <t>PINEDO 950 EST SOLA GALPON 5 PTA23 y 24 - ( Barracas - Capital )</t>
  </si>
  <si>
    <t>PINEDO 950 EST SOLA GALPON 5 PTA23 y 24</t>
  </si>
  <si>
    <t>4302-4400</t>
  </si>
  <si>
    <t>AV. FERNANDEZ DE LA CRUZ 2576 (COMUNA 8) CABA</t>
  </si>
  <si>
    <t>AV. FERNANDEZ DE LA CRUZ 2576</t>
  </si>
  <si>
    <t>4919-7181</t>
  </si>
  <si>
    <t>SAN LORENZO 4153 - ( MUNRO )</t>
  </si>
  <si>
    <t>SAN LORENZO 4153</t>
  </si>
  <si>
    <t>MUNRO</t>
  </si>
  <si>
    <t>1605</t>
  </si>
  <si>
    <t>4762-6662</t>
  </si>
  <si>
    <t>JOSE MARTI 3327 - ( SOLDATI-CAP FED- )</t>
  </si>
  <si>
    <t>JOSE MARTI 3327</t>
  </si>
  <si>
    <t>4918-5018</t>
  </si>
  <si>
    <t>AV. INT. F.RABANAL 2658 (COMUNA 8) CABA</t>
  </si>
  <si>
    <t>AV. INT. F.RABANAL 2658 -CABA</t>
  </si>
  <si>
    <t>4912-1703</t>
  </si>
  <si>
    <t>BERON DE ASTRADA 2712 - ( CABA )</t>
  </si>
  <si>
    <t>BERON DE ASTRADA 2712</t>
  </si>
  <si>
    <t>4918-0377</t>
  </si>
  <si>
    <t>MIRAVE 3381 - ( CAPITAL FEDERAL )</t>
  </si>
  <si>
    <t>MIRAVE 3381</t>
  </si>
  <si>
    <t>49425124</t>
  </si>
  <si>
    <t>CACHIMAYO 1836 - ( PQUE.CHACABUCO-CAPIT )</t>
  </si>
  <si>
    <t>CACHIMAYO 1836</t>
  </si>
  <si>
    <t>AV. INT. FRANCISCO RABANAL 2354 (COMUNA 8) CABA</t>
  </si>
  <si>
    <t>AV. INT. FRANCISCO RABANAL 2354</t>
  </si>
  <si>
    <t>4919-4986 / 6293</t>
  </si>
  <si>
    <t>victorprivitera@speedy.com.ar_x000D_
15-11-2012 AVISO CAMBIO DOMICILIO, EX MONASTERIO 325 - CAP FED</t>
  </si>
  <si>
    <t>PEDRO BALINIA 4060 ESQ.PEPIRI - ( PQUE PATRICIOS CAP.FED. )</t>
  </si>
  <si>
    <t>PEDRO BALINIA 4060 ESQ.PEPIRI</t>
  </si>
  <si>
    <t>B. ROLDAN 1003 - ( HAEDO NORTE )</t>
  </si>
  <si>
    <t>B. ROLDAN 1003</t>
  </si>
  <si>
    <t>HAEDO NORTE</t>
  </si>
  <si>
    <t>4650-4968</t>
  </si>
  <si>
    <t>LO PASO PREVEDELLO, PACHULA NO RECIBE MAS</t>
  </si>
  <si>
    <t>GRAL. ARAOZ DE LAMADRID 1850 - ( CAPITAL FEDERAL )</t>
  </si>
  <si>
    <t>GRAL. ARAOZ DE LAMADRID 1850</t>
  </si>
  <si>
    <t>1288</t>
  </si>
  <si>
    <t>4302-7367</t>
  </si>
  <si>
    <t>VILLARINO 2375 (COMUNA 4 ) CABA</t>
  </si>
  <si>
    <t>C1273ADG</t>
  </si>
  <si>
    <t>4302-7162</t>
  </si>
  <si>
    <t>AV. SUAREZ 2590 (COMUNA 4) CABA</t>
  </si>
  <si>
    <t>AV. SUAREZ 2590</t>
  </si>
  <si>
    <t>49194453</t>
  </si>
  <si>
    <t>BEAZLEY 3523 (COMUNA 4) CABA</t>
  </si>
  <si>
    <t>BEAZLEY 3523</t>
  </si>
  <si>
    <t>4911-6009</t>
  </si>
  <si>
    <t>GRAL IRIARTE 2763 - ( CAPITAL FEDERAL )</t>
  </si>
  <si>
    <t>GRAL IRIARTE 2763</t>
  </si>
  <si>
    <t>4303-8858</t>
  </si>
  <si>
    <t>PERGAMINO 3751 MOD 71 A 75 nave (c) (COMUNA 8 ) CABA</t>
  </si>
  <si>
    <t>PERGAMINO 3751 MOD 71 A 75 nave (c)</t>
  </si>
  <si>
    <t>5091-6600/3754-7206</t>
  </si>
  <si>
    <t>FERRE 2135 - ( CAPITAL FEDERAL )</t>
  </si>
  <si>
    <t>4918-3354</t>
  </si>
  <si>
    <t>MONTESQUIEU 587 (COMUNA 4) CABA</t>
  </si>
  <si>
    <t>MONTESQUIU 587</t>
  </si>
  <si>
    <t>O'GORMAN 3016 (COMUNA 8) CABA</t>
  </si>
  <si>
    <t>O'GORMAN 3016</t>
  </si>
  <si>
    <t>4303-4055</t>
  </si>
  <si>
    <t>CAMBIO DOMICILIO DE RIO CUARTO 2738 A 1402 AVISADO CHOFER EN REMITO 16-2-23_x000D_
_x000D_
27-4-23 CAMBIO DE DOMICILIO</t>
  </si>
  <si>
    <t>STO DOMINGO 3930 (COMUNA 4) CABA</t>
  </si>
  <si>
    <t>4911 4612</t>
  </si>
  <si>
    <t>RIVERO 650 - ( AVELLANEDA )</t>
  </si>
  <si>
    <t>RIVERO 650</t>
  </si>
  <si>
    <t>2003-5259</t>
  </si>
  <si>
    <t>buenosaires@egtransporte.com_x000D_
SE MUDARON A AVELLANEDA</t>
  </si>
  <si>
    <t>CORVALAN 3520 - ( CAPITAL FEDERAL )</t>
  </si>
  <si>
    <t>CORVALAN 3520</t>
  </si>
  <si>
    <t>4602-7229</t>
  </si>
  <si>
    <t>ESTACION SOLA G 3 PUERTA 7 (COMUNA 4 ) CABA</t>
  </si>
  <si>
    <t>ESTACION SOLA G 3 PUERTA 7</t>
  </si>
  <si>
    <t>4301-7786</t>
  </si>
  <si>
    <t>EN AZUL SALTA 993 TEL: 02281-424289 / 433528</t>
  </si>
  <si>
    <t>PINEDO 50 GALPON 5 PUERTA 14-15-16 EST SOLA - ( CAPITAL FEDERAL )</t>
  </si>
  <si>
    <t>PINEDO 50 GALPON 5 PUERTA 14-15-16 EST SOLA</t>
  </si>
  <si>
    <t>4301-3011</t>
  </si>
  <si>
    <t>CARLOS BERG 2794 - ( PQUE PATRICIOS )</t>
  </si>
  <si>
    <t>CARLOS BERG 2794</t>
  </si>
  <si>
    <t>4918-0154</t>
  </si>
  <si>
    <t>PERGAMINO 3751 MOD 64/65 NAVE 3 (COMUNA 8) CABA</t>
  </si>
  <si>
    <t>C.T.C. PERGAMINO 3751 MOD 64/65 NAVE 3</t>
  </si>
  <si>
    <t>3754-7220</t>
  </si>
  <si>
    <t>INCLAN 3527 (COMUNA 5) CABA</t>
  </si>
  <si>
    <t>INCLAN 3527</t>
  </si>
  <si>
    <t>1258</t>
  </si>
  <si>
    <t>4923-2988</t>
  </si>
  <si>
    <t>AGUSTIIN DE VEDIA 3391 (COMUNA 4) CABA</t>
  </si>
  <si>
    <t>AGUSTIIN DE VEDIA 3391</t>
  </si>
  <si>
    <t>4919-8447</t>
  </si>
  <si>
    <t>ARVAREZ PRADO Y PERICLES - ( MORENO )</t>
  </si>
  <si>
    <t>ARVAREZ PRADO Y PERICLES</t>
  </si>
  <si>
    <t>MORENO</t>
  </si>
  <si>
    <t>0237-4814280</t>
  </si>
  <si>
    <t>FERRE 2283 - ( CAPITAL FEDERAL )</t>
  </si>
  <si>
    <t>FERRE 2283</t>
  </si>
  <si>
    <t>MENDEZ 2433 (Alt. AV. CRUZ 2400) - ( CAPITAL FEDERAL )</t>
  </si>
  <si>
    <t>MENDEZ 2433 (Alt. AV. CRUZ 2400)</t>
  </si>
  <si>
    <t>03471-15522007/15561253</t>
  </si>
  <si>
    <t>TROLE 163 - ( CAPITAL FEDERAL )</t>
  </si>
  <si>
    <t>TROLE 163</t>
  </si>
  <si>
    <t>4923-6779</t>
  </si>
  <si>
    <t>BERON DE ASTRADA 2850 - ( CAPITAL FEDERAL )</t>
  </si>
  <si>
    <t>BERON DE ASTRADA 2850</t>
  </si>
  <si>
    <t>4919-9043</t>
  </si>
  <si>
    <t>STA. CATALINA 2151 (COMUNA 8) CABA</t>
  </si>
  <si>
    <t>4918-4980 / 4919-5892</t>
  </si>
  <si>
    <t>AVALOS 188 - ( CAPITAL FEDERAL )</t>
  </si>
  <si>
    <t>AVALOS 188</t>
  </si>
  <si>
    <t>4552-5307</t>
  </si>
  <si>
    <t>LAVARDEN 740 - ( P.PATRICIOS-CAPITAL )</t>
  </si>
  <si>
    <t>LAVARDEN 740</t>
  </si>
  <si>
    <t>FERRE 2373 - ( VILLA SOLDATI )</t>
  </si>
  <si>
    <t>FERRE 2373</t>
  </si>
  <si>
    <t>4918-1080</t>
  </si>
  <si>
    <t>SAN LORENZO 4153 - ( CARAPACHAY )</t>
  </si>
  <si>
    <t>CARAPACHAY</t>
  </si>
  <si>
    <t>BERON DE ASTRADA 2856 (COMUNA 8) CABA</t>
  </si>
  <si>
    <t>BERON DE ASTRADA 2856</t>
  </si>
  <si>
    <t>4918-3232/ 3242</t>
  </si>
  <si>
    <t>PERGAMINO 3751 NAVE 3 MOD 70 (COMUNA 8) CABA</t>
  </si>
  <si>
    <t>PERGAMINO 3751 NAVE 3 MOD 70</t>
  </si>
  <si>
    <t>4600-7491</t>
  </si>
  <si>
    <t>JUAN A. MAZA 2150 - ( BOEDO )</t>
  </si>
  <si>
    <t>JUAN A. MAZA 2150</t>
  </si>
  <si>
    <t>BOEDO</t>
  </si>
  <si>
    <t>4912-3630</t>
  </si>
  <si>
    <t>CALIFORNIA 1158 - ( LA BOCA- CAPITAL FEDERAL )</t>
  </si>
  <si>
    <t>CALIFORNIA 1158</t>
  </si>
  <si>
    <t>4303-2809</t>
  </si>
  <si>
    <t>FERRE 2552 - ( CAPITAL FEDERAL )</t>
  </si>
  <si>
    <t>FERRE 2552</t>
  </si>
  <si>
    <t>4918-7576 / 4919-9248</t>
  </si>
  <si>
    <t>VENTANA 3772 (COMUNA 4 ) CABA</t>
  </si>
  <si>
    <t>VENTANA 3772</t>
  </si>
  <si>
    <t>1405</t>
  </si>
  <si>
    <t>4431-5627</t>
  </si>
  <si>
    <t>CHARRUA 3520 - ( CAPITAL FEDERAL )</t>
  </si>
  <si>
    <t>CHARRUA 3520</t>
  </si>
  <si>
    <t>4918-6278</t>
  </si>
  <si>
    <t>FERRE 2366 (alt. Roca 2300) - ( CAPITAL FEDERAL )</t>
  </si>
  <si>
    <t>FERRE 2366 (alt. Roca 2300)</t>
  </si>
  <si>
    <t>4919-0971</t>
  </si>
  <si>
    <t>SAN PEDRITO 3476 - ( CAPITAL FEDERAL )</t>
  </si>
  <si>
    <t>SAN PEDRITO 3476</t>
  </si>
  <si>
    <t>0341 462-2258</t>
  </si>
  <si>
    <t>GUIDO SPANO 2029 - ( SAN FERNANDO )</t>
  </si>
  <si>
    <t>GUIDO SPANO 2029</t>
  </si>
  <si>
    <t>SAN FERNANDO</t>
  </si>
  <si>
    <t>4746.5925</t>
  </si>
  <si>
    <t>SAN PEDRITO 3466 - ( VILLA SOLDATI )</t>
  </si>
  <si>
    <t>RIVADAVIA 507 - ( TORTUGAS )</t>
  </si>
  <si>
    <t>RIVADAVIA 507</t>
  </si>
  <si>
    <t>TORTUGAS</t>
  </si>
  <si>
    <t>2512</t>
  </si>
  <si>
    <t>03471-494233</t>
  </si>
  <si>
    <t>TRANSPORTE UTILIZADO POR IMPORTADORA MORALES DE BOLIVIA</t>
  </si>
  <si>
    <t>SANTO DOMINGO 4241 - ( CAPITAL FEDERAL )</t>
  </si>
  <si>
    <t>SANTO DOMINGO 4241</t>
  </si>
  <si>
    <t>4911-2002 / 0500</t>
  </si>
  <si>
    <t>HORARIOS DE ATENCION DE 8:30 A 17 HS</t>
  </si>
  <si>
    <t>Ramirez 1647 - ( Capital Federal )</t>
  </si>
  <si>
    <t>Ramirez 1647</t>
  </si>
  <si>
    <t>PERGAMINO 3740 - ( CAP FED )</t>
  </si>
  <si>
    <t>PERGAMINO 3740</t>
  </si>
  <si>
    <t>4918-9595/ 9797/9494</t>
  </si>
  <si>
    <t>FERRE 2135 (COMUNA 8 ) CABA</t>
  </si>
  <si>
    <t>CNEL. BONORINO 3561 - ( CAP. FED. )</t>
  </si>
  <si>
    <t>CNEL. BONORINO 3561</t>
  </si>
  <si>
    <t>4919-9938</t>
  </si>
  <si>
    <t>FORMOSA 3486 Y PCIA.UNIDA - ( LOMAS DEL MIRADOR )</t>
  </si>
  <si>
    <t>FORMOSA 3486 Y PCIA.UNIDA</t>
  </si>
  <si>
    <t>LOMAS DEL MIRADOR</t>
  </si>
  <si>
    <t>1752</t>
  </si>
  <si>
    <t>PORTELA 3447 - ( CAPITAL FEDERAL )</t>
  </si>
  <si>
    <t>PERGAMINO 3751 NAVE C MOD 64/65 - ( CABA )</t>
  </si>
  <si>
    <t>PERGAMINO 3751 NAVE C MOD 64/65</t>
  </si>
  <si>
    <t>Dora Fleitas 880 - ( Luis Guillón - )</t>
  </si>
  <si>
    <t>Dora Fleitas 880</t>
  </si>
  <si>
    <t>(011)4296-3999</t>
  </si>
  <si>
    <t>Carlos Maria Rodriguez 1476 - ( Capital Federal )</t>
  </si>
  <si>
    <t>Carlos Maria Rodriguez 1476</t>
  </si>
  <si>
    <t>4918-4230</t>
  </si>
  <si>
    <t>CARLOS M RAMIREZ 2176 (COMUNA 8) CABA</t>
  </si>
  <si>
    <t>CARLOS M RAMIREZ 2176</t>
  </si>
  <si>
    <t>AV. RABANAL 2768 (COMUNA 8) CABA</t>
  </si>
  <si>
    <t>AV. RABANAL 2768</t>
  </si>
  <si>
    <t>4911-0501</t>
  </si>
  <si>
    <t>MUÑIZ 2112 E/GIBSON Y AV. CASEROS - ( BOEDO -CABA )</t>
  </si>
  <si>
    <t>MUÑIZ 2112 E/GIBSON Y AV. CASEROS</t>
  </si>
  <si>
    <t>1255</t>
  </si>
  <si>
    <t>4922-8075/    02281-15534902</t>
  </si>
  <si>
    <t>Azul: 02281-424728</t>
  </si>
  <si>
    <t>Estación Sola Galpón 5 puerta 11-13-15 - ( Capital Federal )</t>
  </si>
  <si>
    <t>Estación Sola Galpón 5 puerta 11-13-15</t>
  </si>
  <si>
    <t>FERRE 1682 (COMUNA 4 ) CABA</t>
  </si>
  <si>
    <t>FERRE 1682</t>
  </si>
  <si>
    <t>4919-9235 / 6284</t>
  </si>
  <si>
    <t>02-09-09 llamo el tte. para pasar el cambio de direccion_x000D_
4-1-10 RECIBEN HASTA LAS 17 HS cierran de  13 a 14</t>
  </si>
  <si>
    <t>PERGAMINO 3830 (COMUNA 8 ) CABA</t>
  </si>
  <si>
    <t>PERGAMINO 3830</t>
  </si>
  <si>
    <t>4919-0267 / 0269</t>
  </si>
  <si>
    <t>AUSTRALIA 2838 (COMUNA 4) CABA</t>
  </si>
  <si>
    <t>AUSTRALIA 2838</t>
  </si>
  <si>
    <t>4303-6222</t>
  </si>
  <si>
    <t>HORARIO  8 A 12.30 Y  13 A 17 HS.</t>
  </si>
  <si>
    <t>BENITO QUINQUELA MARTIN 940 - ( CAPITAL FEDERAL )</t>
  </si>
  <si>
    <t>BENITO QUINQUELA MARTIN 940</t>
  </si>
  <si>
    <t>LA DIRECCION ES DEL DEPOSITO FISCAL LOGEXPOR</t>
  </si>
  <si>
    <t>Ramirez 1647 - ( Pompeya )</t>
  </si>
  <si>
    <t>4919-9460</t>
  </si>
  <si>
    <t>MARMOL 854 - ( CAP FED, )</t>
  </si>
  <si>
    <t>MARMOL 854</t>
  </si>
  <si>
    <t>Miguel Cane 745 - ( Lanus Oeste )</t>
  </si>
  <si>
    <t>Miguel Cane 745</t>
  </si>
  <si>
    <t>Int. Francisco Rabanal 2354 - ( Villa Soldati )</t>
  </si>
  <si>
    <t>Int. Francisco Rabanal 2354</t>
  </si>
  <si>
    <t>PEPIRI 1245 (COMUNA 4) CABA</t>
  </si>
  <si>
    <t>PEPIRI 1245</t>
  </si>
  <si>
    <t>4911-6269</t>
  </si>
  <si>
    <t>GUEMES 2233 E/RIVADAVIA Y JOSE C PAZ - ( TIGRE )</t>
  </si>
  <si>
    <t>GUEMES 2233 E/RIVADAVIA Y JOSE C PAZ</t>
  </si>
  <si>
    <t>TIGRE</t>
  </si>
  <si>
    <t>1648</t>
  </si>
  <si>
    <t>0385-15688-4898</t>
  </si>
  <si>
    <t>4919-3700</t>
  </si>
  <si>
    <t>CRESPO 3390 (COMUNA 4) CABA</t>
  </si>
  <si>
    <t>CRESPO 3390</t>
  </si>
  <si>
    <t>4918-3999</t>
  </si>
  <si>
    <t>Melisa, melisa_transportes@yahoo.com.ar</t>
  </si>
  <si>
    <t>PERGAMINO 3751 NAVE 3 MOD 69 (COMUNA 8) CABA</t>
  </si>
  <si>
    <t>C.T.C. PERGAMINO 3751 NAVE 3 MOD 69</t>
  </si>
  <si>
    <t>2206-2606</t>
  </si>
  <si>
    <t>CARLOS M RAMIREZ 2204 - ( SOLDATI )</t>
  </si>
  <si>
    <t>CARLOS M RAMIREZ 2204</t>
  </si>
  <si>
    <t>4919-5797</t>
  </si>
  <si>
    <t>RIO LIMAY 1456 - ( CAPITAL FEDERAL )</t>
  </si>
  <si>
    <t>RIO LIMAY 1456</t>
  </si>
  <si>
    <t>4301-2006</t>
  </si>
  <si>
    <t>MARTIN FIERRO 4935 - ( ITUZAINGO )</t>
  </si>
  <si>
    <t>MARTIN FIERRO 4935</t>
  </si>
  <si>
    <t>ITUZAINGO</t>
  </si>
  <si>
    <t>4481-0968 PABLO</t>
  </si>
  <si>
    <t>Av. Colonias 371 - ( Pque. Patricios )</t>
  </si>
  <si>
    <t>Av. Colonias 371</t>
  </si>
  <si>
    <t>SALMUN FREIJOO 481-83 - ( CAPITAL FEDERAL )</t>
  </si>
  <si>
    <t>SALMUN FREIJOO 481-83</t>
  </si>
  <si>
    <t>1274</t>
  </si>
  <si>
    <t>4302-9359 / 9848</t>
  </si>
  <si>
    <t>SUAREZ 2761/69 (COMUNA 4) CABA</t>
  </si>
  <si>
    <t>SUAREZ 2761/69</t>
  </si>
  <si>
    <t>4301-5651</t>
  </si>
  <si>
    <t>Estación Sola galpón 5 puerta 15 - ( Capital Federal )</t>
  </si>
  <si>
    <t>Estación Sola galpón 5 puerta 15</t>
  </si>
  <si>
    <t>4303-4006 / 4302-4400</t>
  </si>
  <si>
    <t>Nave S2 S.Norte - Mercado Central - ( Villa Celina -  Buenos Aires )</t>
  </si>
  <si>
    <t>Nave S2 S.Norte - Mercado Central</t>
  </si>
  <si>
    <t>4442-5491 - 155043-9441</t>
  </si>
  <si>
    <t>ESTACION SOLA PUERTA 11/13/15 GALPON 5 (COMUNA 4) CABA</t>
  </si>
  <si>
    <t>ESTACION SOLA PUERTA 11/13/15 GALPON 5</t>
  </si>
  <si>
    <t>Domicilio en Bahia Blanca: Neuquen 650_x000D_
0291-452-8437</t>
  </si>
  <si>
    <t>TROXLER, JULIO 3259 (COMUNA 8) CABA</t>
  </si>
  <si>
    <t>JULIO TROEXLER 3259</t>
  </si>
  <si>
    <t>4919-8750 / 8758</t>
  </si>
  <si>
    <t>10-2-16 CAMBIO DE DOMICILIO A CALLE JULIO TROEXLER 3259</t>
  </si>
  <si>
    <t>DONATO ALVAREZ 2258 - ( PATERNAL )</t>
  </si>
  <si>
    <t>DONATO ALVAREZ 2258</t>
  </si>
  <si>
    <t>AV. FERNANDEZ DE LA CRUZ 2340 - ( CABA )</t>
  </si>
  <si>
    <t>4911-5911</t>
  </si>
  <si>
    <t>AV. FF DE LA CRUZ 2760 - ( CAPITAL FEDERAL )</t>
  </si>
  <si>
    <t>AV. FF DE LA CRUZ 2760</t>
  </si>
  <si>
    <t>4919-9779</t>
  </si>
  <si>
    <t>PERGAMINO 3751 NAVE 4 MOD.109-110-111 - ( SOLDATI -CABA )</t>
  </si>
  <si>
    <t>PERGAMINO 3751 NAVE 4 MOD.109-110-111</t>
  </si>
  <si>
    <t>4600 7473/7474</t>
  </si>
  <si>
    <t>IRIARTE 2767 - ( BARRACAS -CAP FED )</t>
  </si>
  <si>
    <t>IRIARTE 2767</t>
  </si>
  <si>
    <t>1291</t>
  </si>
  <si>
    <t>4301-0837</t>
  </si>
  <si>
    <t>AV. CRUZ 2438 - ( CAPITAL FEDERAL )</t>
  </si>
  <si>
    <t>AV. CRUZ 2438</t>
  </si>
  <si>
    <t>4919-5469</t>
  </si>
  <si>
    <t>AV. IRIARTE 2775 - ( CAPITAL FEDERAL )</t>
  </si>
  <si>
    <t>AV. IRIARTE 2775</t>
  </si>
  <si>
    <t>4301-1407</t>
  </si>
  <si>
    <t>UNICAMENTE DE 8 A 12</t>
  </si>
  <si>
    <t>FERRE 2035 (COMUNA 4) CABA</t>
  </si>
  <si>
    <t>FERRE 2035</t>
  </si>
  <si>
    <t>4919-6539</t>
  </si>
  <si>
    <t>PINEDO 50 EST. SOLA G 5 P 23 - ( BARRACAS )</t>
  </si>
  <si>
    <t>PINEDO 50 EST. SOLA G 5 P 23</t>
  </si>
  <si>
    <t>02923-15656300</t>
  </si>
  <si>
    <t>PEDRO CHUTRO 2735 - ( CAPITAL FEDERAL )</t>
  </si>
  <si>
    <t>PEDRO CHUTRO 2735</t>
  </si>
  <si>
    <t>4941 8370 / 72</t>
  </si>
  <si>
    <t>GRAL.IRIARTE 2775 - ( CAPITAL FEDERAL )</t>
  </si>
  <si>
    <t>GRAL.IRIARTE 2775</t>
  </si>
  <si>
    <t>PERGAMINO 3751 MOD 47 (COMUNA 8) CABA</t>
  </si>
  <si>
    <t>PERGAMINO 3751 MOD 47</t>
  </si>
  <si>
    <t>0381- 15 5628857</t>
  </si>
  <si>
    <t>BERON DE ASTRADA 2814 - ( CAP FED )</t>
  </si>
  <si>
    <t>transportepampa@cpnet.com.ar</t>
  </si>
  <si>
    <t>PEPIRI 1535 - ( POMPEYA-CABA )</t>
  </si>
  <si>
    <t>4911-0800 / 4911-4643</t>
  </si>
  <si>
    <t>Horario de 8 a 18 hs_x000D_
0351/4953438 - 4978692</t>
  </si>
  <si>
    <t>JULIO TROXLER 3259 (COMUNA 8) CABA</t>
  </si>
  <si>
    <t>10-2-16 CAMBIO DE DOMICILIO A CALE JULIO TROEXLER 3259</t>
  </si>
  <si>
    <t>PEPIRI 1535 - ( PARQUE PATRICIOS )</t>
  </si>
  <si>
    <t>4911-0800</t>
  </si>
  <si>
    <t>HORARIO 8 A 17HS</t>
  </si>
  <si>
    <t>ESTACION SOLA G.1 P.20 - ( BARRACAS - CABA )</t>
  </si>
  <si>
    <t>ESTACION SOLA G.1 P.20</t>
  </si>
  <si>
    <t>03467-15403767</t>
  </si>
  <si>
    <t>PEDRO BALIÑA 4060 - ( CAPITAL FEDERAL )</t>
  </si>
  <si>
    <t>PEDRO BALIÑA 4060</t>
  </si>
  <si>
    <t>4911-8552 / 4912-2164</t>
  </si>
  <si>
    <t>AV. REMEDIOS 5424 - ( MATADEROS -CAPITAL FEDERAL )</t>
  </si>
  <si>
    <t>AV. REMEDIOS 5424</t>
  </si>
  <si>
    <t>15-66778302</t>
  </si>
  <si>
    <t>MONTEAGUDO 663 - ( PQUE PATRICIOS -CAP FED )</t>
  </si>
  <si>
    <t>MONTEAGUDO 663</t>
  </si>
  <si>
    <t>4911-1980</t>
  </si>
  <si>
    <t>RECEPCION HASTA LAS 17:30 HS.</t>
  </si>
  <si>
    <t>AV. FERNANDEZ DE LA CRUZ 2340 (COMUNA 8 ) CABA</t>
  </si>
  <si>
    <t>FERRE 3286 - ( SOLDATI )</t>
  </si>
  <si>
    <t>FERRE 3286</t>
  </si>
  <si>
    <t>4919-9482</t>
  </si>
  <si>
    <t>RIO CUARTO 4491 - ( CAPITAL FEDERAL )</t>
  </si>
  <si>
    <t>RIO CUARTO 4491</t>
  </si>
  <si>
    <t>4911-6699</t>
  </si>
  <si>
    <t>MONTEAGUDO 663 - ( CAPITAL FEDERAL )</t>
  </si>
  <si>
    <t>GRAL. DANIEL CERRI 664 - ( CABA )</t>
  </si>
  <si>
    <t>GRAL. DANIEL CERRI 664</t>
  </si>
  <si>
    <t>1168</t>
  </si>
  <si>
    <t>4301-8500/6523</t>
  </si>
  <si>
    <t>PEDRO CHUTRO 2735 - ( PQUE PATRICIOS-CAP FED )</t>
  </si>
  <si>
    <t>HORARIO DE 8:30 A 13 Y 14:00 A 17:00</t>
  </si>
  <si>
    <t>SAN BLAS 1747 E/ TRELLES Y SANCHEZ - ( PATERNAL-CAP FED )</t>
  </si>
  <si>
    <t>SAN BLAS 1747 E/ TRELLES Y SANCHEZ</t>
  </si>
  <si>
    <t>4588-3458</t>
  </si>
  <si>
    <t>C.T.C. PERGAMINO 3751 MODULO 40 - ( CABA )</t>
  </si>
  <si>
    <t>C.T.C. PERGAMINO 3751 MODULO 40</t>
  </si>
  <si>
    <t>4918-4186/4189</t>
  </si>
  <si>
    <t>USPALLATA 2674 - ( PQUE PATRICIOS -CAP. FED. )</t>
  </si>
  <si>
    <t>USPALLATA 2674</t>
  </si>
  <si>
    <t>4941-8144</t>
  </si>
  <si>
    <t>AGUIRRE 1408 (COMUNA 15) CABA</t>
  </si>
  <si>
    <t>AGUIRRE 1408</t>
  </si>
  <si>
    <t>4854-1803  /  153464-3961</t>
  </si>
  <si>
    <t>AV. F. DE LA CRUZ 2438 - ( CAPITAL FEDERAL )</t>
  </si>
  <si>
    <t>AV. F. DE LA CRUZ 2438</t>
  </si>
  <si>
    <t>4919 5468 / (0291) 400 7633</t>
  </si>
  <si>
    <t>AV. PINEDO E/SUREZ Y AUSTRALIA GALPON PUERTA 5 Y 6 - ( BARRACAS )</t>
  </si>
  <si>
    <t>AV. PINEDO E/SUREZ Y AUSTRALIA GALPON PUERTA 5 Y 6</t>
  </si>
  <si>
    <t>4303-5300</t>
  </si>
  <si>
    <t>CRESPO 3135 (COMUNA 4 ) CABA</t>
  </si>
  <si>
    <t>CRESPO 3135</t>
  </si>
  <si>
    <t>4919-6181 / 03404-15633635</t>
  </si>
  <si>
    <t>AUSTRALIA 2561 - ( BARRACAS -CAP FED )</t>
  </si>
  <si>
    <t>AUSTRALIA 2561</t>
  </si>
  <si>
    <t>153555-6057 // 0351-154023552</t>
  </si>
  <si>
    <t>FERRE 1501- ( POMPEYA -CAP FED )</t>
  </si>
  <si>
    <t>FERRE 1501</t>
  </si>
  <si>
    <t>11 3906-9627 / 11 5160-4601</t>
  </si>
  <si>
    <t>AV. FERNANDEZ DE LA CRUZ 2340 - ( SOLDATI )</t>
  </si>
  <si>
    <t>4301-3096/9735</t>
  </si>
  <si>
    <t>TRAFUL 3730 - ( CAP FED )</t>
  </si>
  <si>
    <t>TRAFUL 3730</t>
  </si>
  <si>
    <t>4911-1041</t>
  </si>
  <si>
    <t>ESTACION SOLA G. 3 P 22 - ( BARRACAS )</t>
  </si>
  <si>
    <t>ESTACION SOLA G. 3 P 22</t>
  </si>
  <si>
    <t>VALPARAISO 628 - ( VALENTIN ALSINA )</t>
  </si>
  <si>
    <t>VALPARAISO 628</t>
  </si>
  <si>
    <t>42183312</t>
  </si>
  <si>
    <t>PERGAMINO 3552 (COMUNA 8) CABA</t>
  </si>
  <si>
    <t>PERGAMINO 3552</t>
  </si>
  <si>
    <t>O' GORMAN 3252 - ( POMPEYA-CAP FED. )</t>
  </si>
  <si>
    <t>O' GORMAN 3252</t>
  </si>
  <si>
    <t>JUAN MANUEL DE ROSAS 3147 - ( SAN JUSTO )</t>
  </si>
  <si>
    <t>JUAN MANUEL DE ROSAS 3147</t>
  </si>
  <si>
    <t>CALIFORNIA 1158 - ( CAPITAL FEDERAL )</t>
  </si>
  <si>
    <t>ARISTOBULO DEL VALLE 1139 - ( CAP FED )</t>
  </si>
  <si>
    <t>ARISTOBULO DEL VALLE 1139</t>
  </si>
  <si>
    <t>4301-7505</t>
  </si>
  <si>
    <t>PEDRO BALIÑA 4060 - ( POMPEYA-CAP FED )</t>
  </si>
  <si>
    <t>4911 8552 - 4912 2164</t>
  </si>
  <si>
    <t>CARLOS M RAMIREZ 1540 (COMUNA 4 ) CABA</t>
  </si>
  <si>
    <t>CARLOS M RAMIREZ 1540</t>
  </si>
  <si>
    <t>4919-9071</t>
  </si>
  <si>
    <t>FAMATINA 3305 (COMUNA 4 ) CABA</t>
  </si>
  <si>
    <t>4911-2850/4912-5590</t>
  </si>
  <si>
    <t>MATURIN 2854 (COMUNA 15) CABA</t>
  </si>
  <si>
    <t>4581-6072</t>
  </si>
  <si>
    <t>TRAFUL 3412 - ( POMPEYA - CAP FED )</t>
  </si>
  <si>
    <t>TRAFUL 3412</t>
  </si>
  <si>
    <t>4912-0094</t>
  </si>
  <si>
    <t>JULIO TROXLER 3190 (COMUNA 8 ) CABA</t>
  </si>
  <si>
    <t>JULIO TROXLER 3190</t>
  </si>
  <si>
    <t>4261-6629 /  1123797909</t>
  </si>
  <si>
    <t>L. Correo Morales 3689 (Pompeya), Buenos Aires - ( CAPITAL FEDERAL )</t>
  </si>
  <si>
    <t>L. Correo Morales 3689 (Pompeya), Buenos Aires</t>
  </si>
  <si>
    <t>011-155-5844512 / 011-152-6481504</t>
  </si>
  <si>
    <t>EL PARTENON 1125 - ( 9 DE ABRIL-ESTEBAN ECHEVERRIA )</t>
  </si>
  <si>
    <t>EL PARTENON 1125</t>
  </si>
  <si>
    <t>1776</t>
  </si>
  <si>
    <t>4693-4500/0643/2792</t>
  </si>
  <si>
    <t>CAMBIO DOMICILIO A PARTIR DEL 11-9-6_x000D_
Encargado Recepcion El Tehuelche Eduardo 154034-3071</t>
  </si>
  <si>
    <t>CULPINA 3518 - ( LUGANO-CAP FED )</t>
  </si>
  <si>
    <t>AV. PINEDO 50 - ( CAPITAL FEDERAL )</t>
  </si>
  <si>
    <t>AV. PINEDO 50</t>
  </si>
  <si>
    <t>4301-6529</t>
  </si>
  <si>
    <t>FERRE 3284 - ( CAPITAL FEDERAL )</t>
  </si>
  <si>
    <t>FERRE 3284</t>
  </si>
  <si>
    <t>4919-9482 / 4919-5377</t>
  </si>
  <si>
    <t>AV SAN PEDRITO 3456</t>
  </si>
  <si>
    <t>Av. Intendente Rabanal 2662 - ( Ciudad autonoma de Buenos Airs )</t>
  </si>
  <si>
    <t>Av. Intendente Rabanal 2662</t>
  </si>
  <si>
    <t>4919-9559 / 4919-6884</t>
  </si>
  <si>
    <t>CHIVILCOY1453 - ( CAPITAL FEDERAL )</t>
  </si>
  <si>
    <t>CHIVILCOY1453</t>
  </si>
  <si>
    <t>011-4639-4744</t>
  </si>
  <si>
    <t>LISANDRO DE LA TORRE 3945 (COMUNA 8 ) CABA</t>
  </si>
  <si>
    <t>4601 9333</t>
  </si>
  <si>
    <t>Manuel R. Trelles 2750    GALPON 1 PUERTA 6 - ( PATERNAL )</t>
  </si>
  <si>
    <t>Manuel R. Trelles 2750    GALPON 1 PUERTA 6</t>
  </si>
  <si>
    <t>CULPICUA 3518 - ( POMPEYA )</t>
  </si>
  <si>
    <t>CULPICUA 3518</t>
  </si>
  <si>
    <t>011-4919-4801</t>
  </si>
  <si>
    <t>8.30 A 16.30 HS</t>
  </si>
  <si>
    <t>CASTAÑON 3682 (COMUNA 8) CABA</t>
  </si>
  <si>
    <t>CASTAÑON 3682</t>
  </si>
  <si>
    <t>4942- 2525</t>
  </si>
  <si>
    <t>C.T.C. PERGAMINO 3751 NAVE B MOD41 - ( CABA )</t>
  </si>
  <si>
    <t>SANCHEZ DE LORIA 2149 - ( CAPITAL FEDERAL )</t>
  </si>
  <si>
    <t>SANCHEZ DE LORIA 2149</t>
  </si>
  <si>
    <t>4911-8723</t>
  </si>
  <si>
    <t>ALVAR NUÑEZ 250 - ( LA BOCA-CABA )</t>
  </si>
  <si>
    <t>4301-7518/0818</t>
  </si>
  <si>
    <t>IGUAZU 1207 (COMUNA 4 ) CABA</t>
  </si>
  <si>
    <t>IGUAZU 1207</t>
  </si>
  <si>
    <t>4911-8000</t>
  </si>
  <si>
    <t>DEPOSITO FISCAL DODERO A.PALCIOS 1339 - ( BARRACAS-CAPITAL FEDERAL )</t>
  </si>
  <si>
    <t>DEPOSITO FISCAL DODERO A.PALCIOS 1339</t>
  </si>
  <si>
    <t>DEPOSITO FISCAL CORVALAN Av. Iriarte 3139 - ( BARRACAS-CAP FED )</t>
  </si>
  <si>
    <t>DEPOSITO FISCAL CORVALAN Av. Iriarte 3139</t>
  </si>
  <si>
    <t>LAFAYETTE 1841 (COMUNA 4 ) CABA</t>
  </si>
  <si>
    <t>LAFAYETTE 1841</t>
  </si>
  <si>
    <t>1286</t>
  </si>
  <si>
    <t>4301-7623</t>
  </si>
  <si>
    <t>PINEDO E/SUAREZ Y AUSTRIA G.4 P7 ESTAC SOLA - ( BARRACAS )</t>
  </si>
  <si>
    <t>PINEDO E/SUAREZ Y AUSTRIA G.4 P7 ESTAC SOLA</t>
  </si>
  <si>
    <t>P.I. BALIÑA 4077 - ( CAPITAL FEDERAL )</t>
  </si>
  <si>
    <t>P.I. BALIÑA 4077</t>
  </si>
  <si>
    <t>4911-8305</t>
  </si>
  <si>
    <t>AV.RIESTRA 1655 - ( POMPEYA-CAPITAL )</t>
  </si>
  <si>
    <t>AV.RIESTRA 1655</t>
  </si>
  <si>
    <t>CRISOSTOMO ALVAREZ 3758 - ( CABA )</t>
  </si>
  <si>
    <t>CRISOSTOMO ALVAREZ 3758</t>
  </si>
  <si>
    <t>011 3363-1182</t>
  </si>
  <si>
    <t>ingreso por LACARRA 1925  - 8 A 16,45 HS</t>
  </si>
  <si>
    <t>FERRE 2102 - ( POMPEYA -CAP FED )</t>
  </si>
  <si>
    <t>4919-7227</t>
  </si>
  <si>
    <t>BERON DE ASTRADA 2712 - ( CAP FED )</t>
  </si>
  <si>
    <t>49180377</t>
  </si>
  <si>
    <t>AV. PINEDO 850-EST.SOLA G.1 PTA.10/11/12 - ( BARRACAS -CAP FED )</t>
  </si>
  <si>
    <t>AV. PINEDO 850-EST.SOLA G.1 PTA.10/11/12</t>
  </si>
  <si>
    <t>4302-6260</t>
  </si>
  <si>
    <t>RIO CUARTO 4554 - ( POMPEYA - CAP FED )</t>
  </si>
  <si>
    <t>RIO CUARTO 4554</t>
  </si>
  <si>
    <t>4911-1115</t>
  </si>
  <si>
    <t>JULIO TROEXLER 3190 - CABA</t>
  </si>
  <si>
    <t>JULIO TROEXLER 3190</t>
  </si>
  <si>
    <t>4024-2826 / 4262-6629</t>
  </si>
  <si>
    <t>FONROUGE 2939 - ( MATADEROS )</t>
  </si>
  <si>
    <t>FONROUGE 2939</t>
  </si>
  <si>
    <t>MATADEROS</t>
  </si>
  <si>
    <t>15-3198-2046</t>
  </si>
  <si>
    <t>C.T.C. PERGAMINO 3751 NAVE 2 MOD 47 - ( SOLDATI )</t>
  </si>
  <si>
    <t>C.T.C. PERGAMINO 3751 NAVE 2 MOD 47</t>
  </si>
  <si>
    <t>0379-154338815 / 2206-2609</t>
  </si>
  <si>
    <t>logistica@transportejacaranda.com</t>
  </si>
  <si>
    <t>PERGAMINO 3751 NAVE 2 MOD 48 (COMUNA 8) CABA</t>
  </si>
  <si>
    <t>C.T.C. PERGAMINO 3751 NAVE 2 MOD 48</t>
  </si>
  <si>
    <t>4600-7495/7496</t>
  </si>
  <si>
    <t>PARACAS 253 - ( CAPITAL )</t>
  </si>
  <si>
    <t>4301-9735/3096</t>
  </si>
  <si>
    <t>ANCASTE 3111 - ( CAP. FED. )</t>
  </si>
  <si>
    <t>4911-6562/6745</t>
  </si>
  <si>
    <t>AV. PERGAMINO 3751 MOD 91 NAVE 4 (COMUNA 8) CABA</t>
  </si>
  <si>
    <t>AV. PERGAMINO 3751 MOD 91 NAVE 4</t>
  </si>
  <si>
    <t>3754-7236 / 7</t>
  </si>
  <si>
    <t>SALCEDO 3331 - ( CAPITAL FEDERAL )</t>
  </si>
  <si>
    <t>SALCEDO 3331</t>
  </si>
  <si>
    <t>49121247</t>
  </si>
  <si>
    <t>MONTIEL 279 - ( CAPITAL FEDERAL )</t>
  </si>
  <si>
    <t>MONTIEL 279</t>
  </si>
  <si>
    <t>1408</t>
  </si>
  <si>
    <t>4641-7627/7680</t>
  </si>
  <si>
    <t>SAN PEDRITO 3466 - ( VILLA SOLDATI-CABA )</t>
  </si>
  <si>
    <t>4918  7783 (0341) 462-2258</t>
  </si>
  <si>
    <t>MUÑIZ 2080 - ( CAP FED )</t>
  </si>
  <si>
    <t>4924-5160</t>
  </si>
  <si>
    <t>MONSEÑOR BUFANO  1621 (Cno. Cintura) - ( VILLA LUZURIAGA )</t>
  </si>
  <si>
    <t>MONSEÑOR BUFANO  1621 (Cno. Cintura)</t>
  </si>
  <si>
    <t>VILLA LUZURIAGA</t>
  </si>
  <si>
    <t>CASTAÑON 3556 (COMUNA 8 ) CABA</t>
  </si>
  <si>
    <t>4919-9991</t>
  </si>
  <si>
    <t>ESTACION BS AS GALPON Nº2 (V.SARSFIELD 701) - ( BARRACAS )</t>
  </si>
  <si>
    <t>ESTACION BS AS GALPON Nº2 (V.SARSFIELD 701)</t>
  </si>
  <si>
    <t>PEDRO CHUTRO 2735 (COMUNA 4 ) CABA</t>
  </si>
  <si>
    <t>4941-8370</t>
  </si>
  <si>
    <t>PERGAMINO 3781- NAVE 6 / 7 / 8 (COMUNA 8 ) CABA</t>
  </si>
  <si>
    <t>CTC PERGAMINO 3781- NAVE 6 / 7 / 8</t>
  </si>
  <si>
    <t>6089 8600 -4600-7457/58/59</t>
  </si>
  <si>
    <t>MIRAVE 3379 - ( CAPITAL FEDERAL )</t>
  </si>
  <si>
    <t>MIRAVE 3379</t>
  </si>
  <si>
    <t>4308-4293</t>
  </si>
  <si>
    <t>FERRE 2418 - ( POMPEYA -CABA )</t>
  </si>
  <si>
    <t>FERRE 2418</t>
  </si>
  <si>
    <t>DANIEL CERRI 1059 - ( LA BOCA -CABA )</t>
  </si>
  <si>
    <t>DANIEL CERRI 1059</t>
  </si>
  <si>
    <t>4301-6211</t>
  </si>
  <si>
    <t>CULPINA 3518 - ( CABA )</t>
  </si>
  <si>
    <t>49194801 ( RICARDO )</t>
  </si>
  <si>
    <t>DEP. FISCAL TEFASA 2 J.Lavaisse 1056 - ( Puerto Nuevo Darsena Sur CABA )</t>
  </si>
  <si>
    <t>DEP. FISCAL TEFASA 2 J.Lavaisse 1056</t>
  </si>
  <si>
    <t>BERON DE ASTRADA 2836 (CAMUNA 8) CABA</t>
  </si>
  <si>
    <t>BERON DE ASTRADA 2836</t>
  </si>
  <si>
    <t>CEL 15 3825-0037</t>
  </si>
  <si>
    <t>AV. SAN PEDRITO 3486 - ( VILLA SOLDATI -CABA )</t>
  </si>
  <si>
    <t>AV. SAN PEDRITO 3486</t>
  </si>
  <si>
    <t>43321-4972/2833</t>
  </si>
  <si>
    <t>FERRE 2877 - ( CABA )</t>
  </si>
  <si>
    <t>FERRE 2877</t>
  </si>
  <si>
    <t>4918-2205 / 4918-2226</t>
  </si>
  <si>
    <t>FERRE 2877 (COMUNA 8) CABA</t>
  </si>
  <si>
    <t>4918-2005</t>
  </si>
  <si>
    <t>ITAQUI 2787 E/CASTAÑON Y VARELA (COMUNA 8) CABA</t>
  </si>
  <si>
    <t>ITAQUI 2787 E/CASTAÑON Y VARELA</t>
  </si>
  <si>
    <t>4919-2443</t>
  </si>
  <si>
    <t>AV. INT. FCO RABANAL 2101 - ( SOLDATI -CABA )</t>
  </si>
  <si>
    <t>AV. INT. FCO RABANAL 2101</t>
  </si>
  <si>
    <t>4919-1212/4918-0669</t>
  </si>
  <si>
    <t>BOGOTA 1850 - ( CAPITAL FEDERAL )</t>
  </si>
  <si>
    <t>BOGOTA 1850</t>
  </si>
  <si>
    <t>4632-4075</t>
  </si>
  <si>
    <t>AGUSTIN DE VEDIA 3056 (COMUNA 4) CABA</t>
  </si>
  <si>
    <t>AGUSTIN DE VEDIA 3056</t>
  </si>
  <si>
    <t>4919-3580/3733/3740/3563</t>
  </si>
  <si>
    <t>SUAREZ 2071 - ( CABA )</t>
  </si>
  <si>
    <t>SUAREZ 2071</t>
  </si>
  <si>
    <t>4301-9066</t>
  </si>
  <si>
    <t>AV. CALCHAQUI 1050 - ( QUILMES OESTE )</t>
  </si>
  <si>
    <t>AV. CALCHAQUI 1050</t>
  </si>
  <si>
    <t>1879</t>
  </si>
  <si>
    <t>AV. INT. FCO RABANAL 2630 (COMUNA 8) CABA</t>
  </si>
  <si>
    <t>AV. INT. FCO RABANAL 2630</t>
  </si>
  <si>
    <t>4919-1158  0261-497 8934</t>
  </si>
  <si>
    <t>PINEDO 50 GALPON 1 PTA.20 - ( ESTACION SOLA-CABA )</t>
  </si>
  <si>
    <t>PINEDO 50 GALPON 1 PTA.20</t>
  </si>
  <si>
    <t>4302-7162 3998-1587</t>
  </si>
  <si>
    <t>ANCASTE 3111 - ( CABA )</t>
  </si>
  <si>
    <t>BELGRANO 1656 - ( DON TORCUATO )</t>
  </si>
  <si>
    <t>BELGRANO 1656</t>
  </si>
  <si>
    <t>4741-1200</t>
  </si>
  <si>
    <t>FRAGATA SARMIENTO 854 - ( CABA )</t>
  </si>
  <si>
    <t>FRAGATA SARMIENTO 854</t>
  </si>
  <si>
    <t>4431-3536</t>
  </si>
  <si>
    <t>AGUSTIN MAGALDI 1344 - ( BARRACAS -CABA )</t>
  </si>
  <si>
    <t>AGUSTIN MAGALDI 1344</t>
  </si>
  <si>
    <t>4303-3783</t>
  </si>
  <si>
    <t>STA MARIA DEL BUEN AIRE 1043/1049 - ( CABA )</t>
  </si>
  <si>
    <t>STA MARIA DEL BUEN AIRE 1043/1049</t>
  </si>
  <si>
    <t>4303-3002</t>
  </si>
  <si>
    <t>O' GORMAN 3572 ALT. RABANAL 2100 - ( CABA )</t>
  </si>
  <si>
    <t>O' GORMAN 3572 ALT. RABANAL 2100</t>
  </si>
  <si>
    <t>4918-6017</t>
  </si>
  <si>
    <t>USPALLATA 2653 - ( CABA )</t>
  </si>
  <si>
    <t>4942-2525</t>
  </si>
  <si>
    <t>CASTAÑON 2858 (COMUNA 8) CABA</t>
  </si>
  <si>
    <t>CASTAÑON 2858</t>
  </si>
  <si>
    <t>4919-4547</t>
  </si>
  <si>
    <t>AV. FERNANDEZ DE LA CRUZ 2340 - ( SOLDATI-CABA )</t>
  </si>
  <si>
    <t>COLONIA 225 - ( CABA )</t>
  </si>
  <si>
    <t>COLONIA 225</t>
  </si>
  <si>
    <t>4942-2986/6858</t>
  </si>
  <si>
    <t>4601 4116</t>
  </si>
  <si>
    <t>PERGAMINO 3751 NAVE 3 MOD 78 (COMUNA 8) CABA</t>
  </si>
  <si>
    <t>PERGAMINO 3751 NAVE 3 MOD 78</t>
  </si>
  <si>
    <t>3754-7202  1551500000</t>
  </si>
  <si>
    <t>DR. LUIS PEDRO BALIÑA 4060 - ( CABA )</t>
  </si>
  <si>
    <t>JOHN W. COOK 3155 - ( SOLDATI -CABA )</t>
  </si>
  <si>
    <t>JOHN W. COOK 3155</t>
  </si>
  <si>
    <t>5807-2954</t>
  </si>
  <si>
    <t>AV. FERNANDEZ DE LA CRUZ 2116 (COMUNA 4 ) CABA</t>
  </si>
  <si>
    <t>AV. FERNANDEZ DE LA CRUZ 2116</t>
  </si>
  <si>
    <t>4919-7855</t>
  </si>
  <si>
    <t>COLONIA 371 - ( PQUE PATRICIOS -CABA )</t>
  </si>
  <si>
    <t>COLONIA 371</t>
  </si>
  <si>
    <t>CERRO ESTAN AHORA EN MONSEÑOR BUFANO</t>
  </si>
  <si>
    <t>PERGAMINO 3751 NAVE 3 BOX 69 (COMUNA 8 ) CABA</t>
  </si>
  <si>
    <t>PERGAMINO 3751 -CTC-NAVE 3 BOX 69</t>
  </si>
  <si>
    <t>1256</t>
  </si>
  <si>
    <t>2206-2606 CEL 155-796-4296</t>
  </si>
  <si>
    <t>PEDRO MOM 2861 - ( POMPEYA -CABA )</t>
  </si>
  <si>
    <t>PEDRO MOM 2861</t>
  </si>
  <si>
    <t>4919-1171</t>
  </si>
  <si>
    <t>4300-3006</t>
  </si>
  <si>
    <t>DEPOSITO FISCAL Calle Sta. Maria 1043 - ( BARRACAS -CABA )</t>
  </si>
  <si>
    <t>DEPOSITO FISCAL Calle Sta. Maria 1043</t>
  </si>
  <si>
    <t>MONTESQUIEU 464 - ( PQUE. PATRICIOS -CBA )</t>
  </si>
  <si>
    <t>4942-9903</t>
  </si>
  <si>
    <t>ESTAN EN EL MISMO LUGAR QUE TRANSPORTE LUCES</t>
  </si>
  <si>
    <t>PEDRO CHUTRO 2458 - ( CABA )</t>
  </si>
  <si>
    <t>PEDRO CHUTRO 2458</t>
  </si>
  <si>
    <t>4941-0985</t>
  </si>
  <si>
    <t>BERON DE ASTRADA 1920 - ( POMPEYA -CABA )</t>
  </si>
  <si>
    <t>BERON DE ASTRADA 1920</t>
  </si>
  <si>
    <t>PEPIRI 1335 (COMUNA 4) CABA</t>
  </si>
  <si>
    <t>PEPIRI 1335</t>
  </si>
  <si>
    <t>2002-4450</t>
  </si>
  <si>
    <t>MURGUIONDO 3317 - ( MATADEROS -CABA )</t>
  </si>
  <si>
    <t>MURGUIONDO 3317</t>
  </si>
  <si>
    <t>46022892/6854</t>
  </si>
  <si>
    <t>MONASTERIO 181 - ( CAPITAL FEDERAL )</t>
  </si>
  <si>
    <t>4941-0412</t>
  </si>
  <si>
    <t>PINEDO 850 Estacion Sola Porton 5 Pta 11 (COMUNA 4 ) CABA</t>
  </si>
  <si>
    <t>PINEDO 850 Estacion Sola Porton 5 Pta 11</t>
  </si>
  <si>
    <t>4301-0053</t>
  </si>
  <si>
    <t>MAR DEL PLATA 0223-4650312</t>
  </si>
  <si>
    <t>AV. REMEDIOS 5424 - ( MATADEROS -CABA )</t>
  </si>
  <si>
    <t>6353-1014</t>
  </si>
  <si>
    <t>FERRE 1501 (COMUNA 4 ) CABA</t>
  </si>
  <si>
    <t>FERRE 1501- CABA</t>
  </si>
  <si>
    <t>4305-7063</t>
  </si>
  <si>
    <t>DE 8.30 A 17</t>
  </si>
  <si>
    <t>AV. CALIFORNIA 678  (COMUNA 4 ) CABA</t>
  </si>
  <si>
    <t>AV. PINEDO GALPON 5 PUERTA 1 E/Suarez y Australia</t>
  </si>
  <si>
    <t>7529-4572</t>
  </si>
  <si>
    <t>PEDERNERA 3538 (COMUNA 8) CABA</t>
  </si>
  <si>
    <t>PEDERNERA 3538</t>
  </si>
  <si>
    <t>4919-6099</t>
  </si>
  <si>
    <t>ISABEL LA CATOLICA 1176 - ( PASO DEL REY )</t>
  </si>
  <si>
    <t>ISABEL LA CATOLICA 1176</t>
  </si>
  <si>
    <t>PASO DEL REY</t>
  </si>
  <si>
    <t>0237 469 0044</t>
  </si>
  <si>
    <t>CALLE 14 E/AV. RAMON CASTILLO Y CALLE 13 - ( PUERTO DE BS AS )</t>
  </si>
  <si>
    <t>CALLE 14 E/AV. RAMON CASTILLO Y CALLE 13</t>
  </si>
  <si>
    <t>1425</t>
  </si>
  <si>
    <t>BERON DE ASTRADA 2845 - ( CABA )</t>
  </si>
  <si>
    <t>BERON DE ASTRADA 2845</t>
  </si>
  <si>
    <t>4919-5381</t>
  </si>
  <si>
    <t>5807-2954 - 1558072954</t>
  </si>
  <si>
    <t>AV GRAL. ENRIQUE MOSCONI 279 - ( LOMAS DEL MIRADOR )</t>
  </si>
  <si>
    <t>AV GRAL. ENRIQUE MOSCONI 279</t>
  </si>
  <si>
    <t>4657-9992/5639/5663</t>
  </si>
  <si>
    <t>CULPINA 3518/20 - ( V.SOLDATI )</t>
  </si>
  <si>
    <t>CULPINA 3518/20</t>
  </si>
  <si>
    <t>AV. DON PEDRO DE MENDOZA 2661 - ( CABA )</t>
  </si>
  <si>
    <t>AV. DON PEDRO DE MENDOZA 2661</t>
  </si>
  <si>
    <t>CEL 0388 15 4149-9262 (Matias Estrada) 388 4149262</t>
  </si>
  <si>
    <t>LUNES A VIERNES DE 8 A 17</t>
  </si>
  <si>
    <t>BERON DE ASTRADA 2255 - ( CABA )</t>
  </si>
  <si>
    <t>BERON DE ASTRADA 2255</t>
  </si>
  <si>
    <t>4918-6660</t>
  </si>
  <si>
    <t>PORTELA 3249 - ( CABA )</t>
  </si>
  <si>
    <t>PORTELA 3249</t>
  </si>
  <si>
    <t>4918-8592</t>
  </si>
  <si>
    <t>CASTAÑON 3685 - ( SOLDATI )</t>
  </si>
  <si>
    <t>CASTAÑON 3685</t>
  </si>
  <si>
    <t>4919-6640</t>
  </si>
  <si>
    <t>PERGAMINO 3751 NAVE 4 MOD 104 a 108 (COMUNA 8) CABA</t>
  </si>
  <si>
    <t>C.T.C. PERGAMINO 3751 NAVE 4 MOD 104 a 108</t>
  </si>
  <si>
    <t>2206-2620</t>
  </si>
  <si>
    <t>JOHN W. COOKE 3255 - ( CABA )</t>
  </si>
  <si>
    <t>CHARRUA 3669</t>
  </si>
  <si>
    <t>4919-8427</t>
  </si>
  <si>
    <t>BALIÑA 4060 - ( CABA )</t>
  </si>
  <si>
    <t>(011) 4911-8552</t>
  </si>
  <si>
    <t>MONTESQUIU 587 - ( CABA )</t>
  </si>
  <si>
    <t>BENITO Q. MARTIN 2310 (COMUNA 4) CABA</t>
  </si>
  <si>
    <t>BENITO Q. MARTIN 2310</t>
  </si>
  <si>
    <t>4301-2975</t>
  </si>
  <si>
    <t>LYNCH 3555 - ( CABA )</t>
  </si>
  <si>
    <t>LYNCH 3555</t>
  </si>
  <si>
    <t>4912-1671</t>
  </si>
  <si>
    <t>REMEDIOS DE ESCALADA DE SAN MARTIN 3630 - ( VALENTIN ALSINA )</t>
  </si>
  <si>
    <t>REMEDIOS DE ESCALADA DE SAN MARTIN 3630</t>
  </si>
  <si>
    <t>4918-9309</t>
  </si>
  <si>
    <t>AZARA 1337 - ( BARRACAS )</t>
  </si>
  <si>
    <t>AZARA 1337</t>
  </si>
  <si>
    <t>4302-6815</t>
  </si>
  <si>
    <t>LOS PATOS 2413 Y MONASTERIO - ( CABA )</t>
  </si>
  <si>
    <t>LOS PATOS 2413 Y MONASTERIO</t>
  </si>
  <si>
    <t>(011) 15-6508-1085</t>
  </si>
  <si>
    <t>transportenaveira@gmail.com</t>
  </si>
  <si>
    <t>HIPOLITO VIEYTES 589 - ( VILLA MARTELLI )</t>
  </si>
  <si>
    <t>HIPOLITO VIEYTES 589</t>
  </si>
  <si>
    <t>VILLA MARTELLI</t>
  </si>
  <si>
    <t>1603</t>
  </si>
  <si>
    <t>4709-0191</t>
  </si>
  <si>
    <t>GRAL F. RIVERA 2660 (COMUNA 8) CABA</t>
  </si>
  <si>
    <t>GRAL F. RIVERA 2660</t>
  </si>
  <si>
    <t xml:space="preserve"> 4562-2014</t>
  </si>
  <si>
    <t>BALBASTRO 3109 - ( CABA )</t>
  </si>
  <si>
    <t>BALBASTRO 3109</t>
  </si>
  <si>
    <t>4613 5841</t>
  </si>
  <si>
    <t>PEDRO DE LUJAN 2159 - ( CABA )</t>
  </si>
  <si>
    <t>PEDRO DE LUJAN 2159</t>
  </si>
  <si>
    <t>4301-2560</t>
  </si>
  <si>
    <t>USPALLATA 2638 - ( CABA )</t>
  </si>
  <si>
    <t>CABOTO 663 (COMUNA 4 ) CABA</t>
  </si>
  <si>
    <t>CABOTO 663</t>
  </si>
  <si>
    <t>1157</t>
  </si>
  <si>
    <t>4361-6971</t>
  </si>
  <si>
    <t>PARACAS 295 (COMUNA 4 ) CABA</t>
  </si>
  <si>
    <t>PARACAS 295</t>
  </si>
  <si>
    <t>4304-3391</t>
  </si>
  <si>
    <t>ALBARINO 3660 - ( SOLDATI )</t>
  </si>
  <si>
    <t>ALBARINO 3660</t>
  </si>
  <si>
    <t>Av. Gral. Francisco Fernández de la Cruz 2286 - ( CABA )</t>
  </si>
  <si>
    <t>Av. Gral. Francisco Fernández de la Cruz 2286</t>
  </si>
  <si>
    <t>15-3677-8646/15-3677-8726</t>
  </si>
  <si>
    <t>TAMBIEN PUEDE ENTREGARSE EN BALBASTRO 3109_x000D_
CAMBIÓ DIRECCION MARISOL CARREÑO 23/04_x000D_
CAMBIO DIRECCION 7-5-21</t>
  </si>
  <si>
    <t>SUAREZ Y PINEDO-EST SOLA G3 PTA35 - ( BARRACAS -CABA )</t>
  </si>
  <si>
    <t>SUAREZ Y PINEDO-EST SOLA G3 PTA35</t>
  </si>
  <si>
    <t>4302-0669</t>
  </si>
  <si>
    <t>PINEDO 50 E/SUAREZ Y AUSTRALIA NAVE 3 P 8-9-10 - ( CAPITAL FEDERAL )</t>
  </si>
  <si>
    <t>PINEDO 50 E/SUAREZ Y AUSTRALIA NAVE 3 P 8-9-10</t>
  </si>
  <si>
    <t>1200</t>
  </si>
  <si>
    <t>6013.0424</t>
  </si>
  <si>
    <t>SAN PEDRITO 3466 - ( CABA )</t>
  </si>
  <si>
    <t>4911-7275</t>
  </si>
  <si>
    <t>EVA PERON 4356 - ( FLORENCIO VARELA )</t>
  </si>
  <si>
    <t>EVA PERON 4356</t>
  </si>
  <si>
    <t>FLORENCIO VARELA</t>
  </si>
  <si>
    <t>1888</t>
  </si>
  <si>
    <t>15 5761-0601</t>
  </si>
  <si>
    <t>CRESPO 3396 ESQ. STA CATALINA - ( CAPITAL FEDERAL )</t>
  </si>
  <si>
    <t>CRESPO 3396 ESQ. STA CATALINA</t>
  </si>
  <si>
    <t>ENRIQUE OCHOA 220/222/228 (COMUNA 4 ) CABA</t>
  </si>
  <si>
    <t>ENRIQUE OCHOA 220/222/228</t>
  </si>
  <si>
    <t>1427</t>
  </si>
  <si>
    <t>4911-1164/8658</t>
  </si>
  <si>
    <t>CAMBIO DE DOMICILIO, ANTES ESTABAN EN ESTACION SOLA</t>
  </si>
  <si>
    <t>4911-6562 / 6745</t>
  </si>
  <si>
    <t>BERON DE ASTRADA 2575 (COMUNA 8) CABA</t>
  </si>
  <si>
    <t>BERON DE ASTRADA 2575</t>
  </si>
  <si>
    <t>7017-4264</t>
  </si>
  <si>
    <t>SAN PEDRITO 3570 - ( CAPITAL FEDERAL )</t>
  </si>
  <si>
    <t>SAN PEDRITO 3570</t>
  </si>
  <si>
    <t>4912-9981</t>
  </si>
  <si>
    <t>4919-4821 / 9429</t>
  </si>
  <si>
    <t>HUMBERTO 1º 3352 - ( CABA )</t>
  </si>
  <si>
    <t>HUMBERTO 1º 3352</t>
  </si>
  <si>
    <t>1231</t>
  </si>
  <si>
    <t>4931-8988</t>
  </si>
  <si>
    <t>PEDRO CHUTRO 2735 (COMUNA 4) CABA</t>
  </si>
  <si>
    <t>BERON DE ASTRADA 2861 (COMUNA 8) CABA</t>
  </si>
  <si>
    <t>1430</t>
  </si>
  <si>
    <t>0263-154773696</t>
  </si>
  <si>
    <t>ESTAC SOLA GALPON 5 PUERTA 15 (COMUNA 4) CABA</t>
  </si>
  <si>
    <t>ESTAC SOLA GALPON 5 PUERTA 15</t>
  </si>
  <si>
    <t>4301-3682</t>
  </si>
  <si>
    <t>PARACAS 253 CABA</t>
  </si>
  <si>
    <t>1282</t>
  </si>
  <si>
    <t>LUIS PEDRO DE MENDOZA 3625 - ( CAPITAL FEDERAL )</t>
  </si>
  <si>
    <t>LUIS PEDRO DE MENDOZA 3625</t>
  </si>
  <si>
    <t>PERGAMINO 3751 Nave "C" 78/79 - ( CABA )</t>
  </si>
  <si>
    <t>PERGAMINO 3751 Nave "C" 78/79</t>
  </si>
  <si>
    <t>CARLOS BERG 3591 ESQ FERRE (COMUNA 8 ) CABA</t>
  </si>
  <si>
    <t>CARLOS BERG 3591 ESQ FERRE</t>
  </si>
  <si>
    <t>4919-3200/0261-4212243</t>
  </si>
  <si>
    <t>4919-0291</t>
  </si>
  <si>
    <t>HERRERA 725 - ( CABA )</t>
  </si>
  <si>
    <t>HERRERA 725</t>
  </si>
  <si>
    <t>1295</t>
  </si>
  <si>
    <t>CTC PERGAMINO 3781 NAVE D86 - ( CABA )</t>
  </si>
  <si>
    <t>CTC PERGAMINO 3781 NAVE D86</t>
  </si>
  <si>
    <t>6089-9400</t>
  </si>
  <si>
    <t>PEPIRI 1327 (COMUNA 4) CABA</t>
  </si>
  <si>
    <t>PEPIRI 1327</t>
  </si>
  <si>
    <t>5648-8258/9</t>
  </si>
  <si>
    <t>ANCASTE 3658 (COMUNA 4) CABA</t>
  </si>
  <si>
    <t>ANCASTE 3658</t>
  </si>
  <si>
    <t>4911 - 5911</t>
  </si>
  <si>
    <t>FERRE 2351 (COMUNA 8 ) CABA</t>
  </si>
  <si>
    <t>FERRE 2351</t>
  </si>
  <si>
    <t>4919 9253</t>
  </si>
  <si>
    <t>AV. SAN PEDRITO 3590 (COMUNA 8 ) CABA</t>
  </si>
  <si>
    <t>AV. SAN PEDRITO 3590</t>
  </si>
  <si>
    <t>4918-0076/4919-0033</t>
  </si>
  <si>
    <t>CASTAÑON 3475 (COMUNA 8) CABA</t>
  </si>
  <si>
    <t>CASTAÑON 3475</t>
  </si>
  <si>
    <t>1538250037</t>
  </si>
  <si>
    <t>JOHN COOKE 3155 - ( CABA )</t>
  </si>
  <si>
    <t>JOHN COOKE 3155</t>
  </si>
  <si>
    <t>0336 15-441-0885</t>
  </si>
  <si>
    <t>transitoriamente por clausura se mudaron a John Cooke _x000D_
luego vuelven a OSCAR NATALIO BONAVENA 1287 (1437) caba</t>
  </si>
  <si>
    <t>JOHN W COOKE 3255 (COMUNA 8 ) CABA</t>
  </si>
  <si>
    <t>JOHN W COOKE 3255</t>
  </si>
  <si>
    <t>RIO CUARTO 4041 (COMUNA 4 ) CABA</t>
  </si>
  <si>
    <t>RIO CUARTO 4041</t>
  </si>
  <si>
    <t>EL PARTENON 1336 - ( 9 DE ABRIL-ESTEBAN ECHEVERRIA )</t>
  </si>
  <si>
    <t>EL PARTENON 1336</t>
  </si>
  <si>
    <t>4693 1996 / 4693 3863 / 4693 4135</t>
  </si>
  <si>
    <t>CAMINO DE CINTURA al 7330 o Ruta de la Tradición 7330 o Ruta Prov. 4 al 7330</t>
  </si>
  <si>
    <t>BERON DE ASTRADA 2853 (COMUNA 8) CABA</t>
  </si>
  <si>
    <t>BERON DE ASTRADA 2853</t>
  </si>
  <si>
    <t>Tel. (011) 4919 8430</t>
  </si>
  <si>
    <t>03385-427656 / 49197519</t>
  </si>
  <si>
    <t>JULIO TROEXLER 3259 - ( CABA )</t>
  </si>
  <si>
    <t>4919-8750 - 4919-8758</t>
  </si>
  <si>
    <t>AV.SAN JUAN B. DE LA SALLE 1926 - ( CABA )</t>
  </si>
  <si>
    <t>AV.SAN JUAN B. DE LA SALLE 1926</t>
  </si>
  <si>
    <t>4635-2111</t>
  </si>
  <si>
    <t>JOHN W. COOKE 3155 (COMUNA 8 ) CABA</t>
  </si>
  <si>
    <t>JOHN W. COOKE 3155</t>
  </si>
  <si>
    <t>20024450</t>
  </si>
  <si>
    <t>QUINTINO BOCAYUVA 1476 - ( CABA )</t>
  </si>
  <si>
    <t>QUINTINO BOCAYUVA 1476</t>
  </si>
  <si>
    <t>1257</t>
  </si>
  <si>
    <t>4923-2555</t>
  </si>
  <si>
    <t>FRUCTUOSO RIVERA 2660 (COMUNA 8) CABA</t>
  </si>
  <si>
    <t>FRUCTUOSO RIVERA 2660</t>
  </si>
  <si>
    <t>4500-7324 / 02324-583451</t>
  </si>
  <si>
    <t>MENDEZ 2580 - ( CABA )</t>
  </si>
  <si>
    <t>MENDEZ 2580</t>
  </si>
  <si>
    <t>2346680947</t>
  </si>
  <si>
    <t>SAN PEDRITO 3570 - ( CABA )</t>
  </si>
  <si>
    <t>CASTAÑON 3556 - ( VILLA SOLDATI )</t>
  </si>
  <si>
    <t>4912-2418</t>
  </si>
  <si>
    <t>PERGAMINO 3751 NAVE B MOD 46 (COMUNA 8) CABA</t>
  </si>
  <si>
    <t>CTC PERGAMINO 3751 NAVE B MOD 46</t>
  </si>
  <si>
    <t>22062603/4</t>
  </si>
  <si>
    <t>PARACAS 251/253 - ( CABA )</t>
  </si>
  <si>
    <t>PARACAS 251/253</t>
  </si>
  <si>
    <t>4305 - 7063</t>
  </si>
  <si>
    <t>TIMOTEO GORDILLO 3851 -MATADEROS</t>
  </si>
  <si>
    <t>TIMOTEO  GORDILLO 3851</t>
  </si>
  <si>
    <t>7539-1491</t>
  </si>
  <si>
    <t>1139069627 / 0051604601</t>
  </si>
  <si>
    <t>SAN PEDRITO 3442 - ( CABA )</t>
  </si>
  <si>
    <t>SAN PEDRITO 3442</t>
  </si>
  <si>
    <t>15 5578-9916</t>
  </si>
  <si>
    <t>LUNA 360 (COMUNA 4) CABA</t>
  </si>
  <si>
    <t>LUNA 360</t>
  </si>
  <si>
    <t>4941-3792    4942-1920</t>
  </si>
  <si>
    <t>PERGAMINO 3751 NAVE C MOD 80-81-82-83 (COMUNA 8 ) CABA</t>
  </si>
  <si>
    <t>PERGAMINO 3751 NAVE C MOD 80-81-82-83</t>
  </si>
  <si>
    <t>5680-1400</t>
  </si>
  <si>
    <t>AV. RIESTRA 1655 - ( CABA )</t>
  </si>
  <si>
    <t>AV. RIESTRA 1655</t>
  </si>
  <si>
    <t>4924-3201 / 3202</t>
  </si>
  <si>
    <t>PORTELA 3479 - ( CABA )</t>
  </si>
  <si>
    <t>4919-0991</t>
  </si>
  <si>
    <t>ANCASTE 3109 - ( CAPITAL FEDERAL )</t>
  </si>
  <si>
    <t>ANCASTE 3109</t>
  </si>
  <si>
    <t>TEDIN 111 ESQ. O'HIGGINS ( BENAVIDEZ )</t>
  </si>
  <si>
    <t>TEDIN 111 ESQ. O'HIGGINS</t>
  </si>
  <si>
    <t>BENAVIDEZ</t>
  </si>
  <si>
    <t>1621</t>
  </si>
  <si>
    <t>03327 444260</t>
  </si>
  <si>
    <t>JOSE RODO 6255 (COMUNA 9) CABA</t>
  </si>
  <si>
    <t>4686-6666 / 6667</t>
  </si>
  <si>
    <t>4919-3669/3653</t>
  </si>
  <si>
    <t>AV. VELEZ SARSFIELD 4319 - ( MUNRO )</t>
  </si>
  <si>
    <t>AV. VELEZ SARSFIELD 4319</t>
  </si>
  <si>
    <t>4762-9693</t>
  </si>
  <si>
    <t>JOHN W. COOKE 3155 - ( CABA )</t>
  </si>
  <si>
    <t>1520024450 CINTIA ALBARRACIN</t>
  </si>
  <si>
    <t>TROEXLER 3120 - ( CABA )</t>
  </si>
  <si>
    <t>TROEXLER 3120</t>
  </si>
  <si>
    <t>4919-9433</t>
  </si>
  <si>
    <t>BERON DE ASTRADA 2675 - ( CABA )</t>
  </si>
  <si>
    <t>BERON DE ASTRADA 2675</t>
  </si>
  <si>
    <t>COLECTORA EZEIZA-CAÑUELAS KM 46500 - ( SPEGAZZINI )</t>
  </si>
  <si>
    <t>COLECTORA EZEIZA-CAÑUELAS KM 46500</t>
  </si>
  <si>
    <t>SPEGAZZINI</t>
  </si>
  <si>
    <t>1812</t>
  </si>
  <si>
    <t>PEPIRI 633 - ( BARRACAS -CABA )</t>
  </si>
  <si>
    <t>PEPIRI 633</t>
  </si>
  <si>
    <t>4912-3628</t>
  </si>
  <si>
    <t>E. OCHOA 220/222 (COMUNA 4) CABA</t>
  </si>
  <si>
    <t>E. OCHOA 220/222</t>
  </si>
  <si>
    <t>011-4911-8658</t>
  </si>
  <si>
    <t>MENDEZ 2433 - ( CABA )</t>
  </si>
  <si>
    <t>MENDEZ 2433</t>
  </si>
  <si>
    <t>1541433644-1541997754</t>
  </si>
  <si>
    <t>MONTESQUIUE 587 - ( CABA )</t>
  </si>
  <si>
    <t>MONTESQUIUE 587</t>
  </si>
  <si>
    <t>43084624</t>
  </si>
  <si>
    <t>RUTA 25 Y LAVENE - ( PILAR )</t>
  </si>
  <si>
    <t>RUTA 25 Y LAVENE</t>
  </si>
  <si>
    <t>PILAR</t>
  </si>
  <si>
    <t>0230-4426199</t>
  </si>
  <si>
    <t>DR. PEDRO BALIÑA 4060 (COMUNA 4) CABA</t>
  </si>
  <si>
    <t>DR. PEDRO BALIÑA 4060</t>
  </si>
  <si>
    <t>COMANDANTE SPURR 456 E/BELGRANO Y RIVADAVIA - ( SARANDI )</t>
  </si>
  <si>
    <t>COMANDANTE SPURR 456 E/BELGRANO Y RIVADAVIA</t>
  </si>
  <si>
    <t>SARANDI</t>
  </si>
  <si>
    <t>1872</t>
  </si>
  <si>
    <t>FRANCO PEREZ  11 2526 3977_x000D_
MARCELO PEREZ 11 3067 0630</t>
  </si>
  <si>
    <t>4180-5696</t>
  </si>
  <si>
    <t>PERGAMINO 3751 MOD 79 - ( CABA )</t>
  </si>
  <si>
    <t>PERGAMINO 3751 MOD 79</t>
  </si>
  <si>
    <t>CALLE PICHINCHA 69 - ( BOULOGNE )</t>
  </si>
  <si>
    <t>CALLE PICHINCHA 69</t>
  </si>
  <si>
    <t>BOULOGNE</t>
  </si>
  <si>
    <t>1609</t>
  </si>
  <si>
    <t>4063-4144 / 2085-8420</t>
  </si>
  <si>
    <t>RIO CUARTO 4838 - ( CAPITAL FEDERAL )</t>
  </si>
  <si>
    <t>RIO CUARTO 4838</t>
  </si>
  <si>
    <t>MOM 3574 (COMUNA 4) CABA</t>
  </si>
  <si>
    <t>MOM 3574</t>
  </si>
  <si>
    <t>M CHILAVERT 2968 (COMUNA 8) CABA</t>
  </si>
  <si>
    <t>MARTINIANO CHILAVERT 2968</t>
  </si>
  <si>
    <t>11-65037504</t>
  </si>
  <si>
    <t>RIO CUARTO 4779 - ( CABA )</t>
  </si>
  <si>
    <t>RIO CUARTO 4779</t>
  </si>
  <si>
    <t>AV. GRAL IRIARTE 2767 - ( CABA )</t>
  </si>
  <si>
    <t>AV. GRAL IRIARTE 2767</t>
  </si>
  <si>
    <t>GRAL F. RIVERA 2650 (COMUNA 8) CABA</t>
  </si>
  <si>
    <t>FRUCTUOSO RIVERA 2650</t>
  </si>
  <si>
    <t>4301-2927 / 11 2275 9293</t>
  </si>
  <si>
    <t>FRUCTUOSO RIVERA 2660 - ( CABA )</t>
  </si>
  <si>
    <t>4500-7322</t>
  </si>
  <si>
    <t>CASTAÑON 3685 - ( C.A.B.A. )</t>
  </si>
  <si>
    <t>113435013109</t>
  </si>
  <si>
    <t>65990122</t>
  </si>
  <si>
    <t>AV. PINEDO 50 GALPON 4 P.3 Y 4 (COMUNA 4) CABA</t>
  </si>
  <si>
    <t>CALLE PINEDO 50 GALPON 4 P.3 Y 4</t>
  </si>
  <si>
    <t>RUTA 24 KM 3.5 LOTE 15 P.INDUSTRIAL - ( GRAL RODRIGUEZ )</t>
  </si>
  <si>
    <t>RUTA 24 KM 3.5 LOTE 15 P.INDUSTRIAL</t>
  </si>
  <si>
    <t>GRAL RODRIGUEZ</t>
  </si>
  <si>
    <t>1746</t>
  </si>
  <si>
    <t>+54 9 280 503-2500</t>
  </si>
  <si>
    <t>RECEPCION LUNES A VIERNES DE 8 A 15.30 HS</t>
  </si>
  <si>
    <t>Cnel. Martiniano Chilavert 3258 - ( Villa Soldati - Cap. Fed )</t>
  </si>
  <si>
    <t>Cnel. Martiniano Chilavert 3258</t>
  </si>
  <si>
    <t>4301-3950 Sr. Porto</t>
  </si>
  <si>
    <t>PEDRO CHUTRO 2735 - ( CABA )</t>
  </si>
  <si>
    <t>PERGAMINO 3751 NAVE C PTA 61/62 (COMUNA 8) CABA</t>
  </si>
  <si>
    <t>PERGAMINO 3751 NAVE C PTA 61/62</t>
  </si>
  <si>
    <t>0261 156645885 (CABA)</t>
  </si>
  <si>
    <t>DR. PEDRO BALIÑA 4060 - ( CABA )</t>
  </si>
  <si>
    <t>0249 458 9769</t>
  </si>
  <si>
    <t>SANTO DOMINGO 3930 (COMUNA 4) CABA</t>
  </si>
  <si>
    <t>15 6167 2738</t>
  </si>
  <si>
    <t>02273 44-2357</t>
  </si>
  <si>
    <t>AV. RABANAL 2876 (COMUNA 8 ) CABA</t>
  </si>
  <si>
    <t>AV. RABANAL 2876</t>
  </si>
  <si>
    <t>DR. PEDRO BALIÑA 3956 (COMUNA 4) CABA</t>
  </si>
  <si>
    <t>DR. PEDRO BALIÑA 3956</t>
  </si>
  <si>
    <t>011-49198608/49196697</t>
  </si>
  <si>
    <t>FERRE 2029 - ( CABA )</t>
  </si>
  <si>
    <t>FERRE 2029</t>
  </si>
  <si>
    <t>4919-9253</t>
  </si>
  <si>
    <t>PERGAMINO 3751 NAVE B MOD 56 - ( CABA )</t>
  </si>
  <si>
    <t>PERGAMINO 3751 NAVE B MOD 56</t>
  </si>
  <si>
    <t>2206-2645 - 2206-2646</t>
  </si>
  <si>
    <t>ESTANISLAO ZEBALLOS 333 - ( AVELLANEDA )</t>
  </si>
  <si>
    <t>ESTANISLAO ZEBALLOS 333</t>
  </si>
  <si>
    <t>4710- 4359</t>
  </si>
  <si>
    <t>BERON DE ASTRADA 2814 (COMUNA 8 ) CABA</t>
  </si>
  <si>
    <t>LAFAYETTE 1841 - ( CABA  - Barracas - )</t>
  </si>
  <si>
    <t>0358 402-5231/ 4381264/ 4220640</t>
  </si>
  <si>
    <t>CRESPO 3135 - ( CABA )</t>
  </si>
  <si>
    <t xml:space="preserve"> 4919 - 1744.</t>
  </si>
  <si>
    <t>INT. RABANAL 2630 - ( CABA )</t>
  </si>
  <si>
    <t>INT. RABANAL 2630</t>
  </si>
  <si>
    <t>4919-1158</t>
  </si>
  <si>
    <t>CARLOS M RAMIREZ 2204 (COMUNA 8 ) CABA</t>
  </si>
  <si>
    <t>PERGAMINO 3751 MODULO 79 (COMUNA 8)</t>
  </si>
  <si>
    <t>PERGAMINO 3751 MODULO 79</t>
  </si>
  <si>
    <t>O´GORMAN 3252 (COMUNA 8) CABA</t>
  </si>
  <si>
    <t>O´GORMAN 3252</t>
  </si>
  <si>
    <t>4919 4547</t>
  </si>
  <si>
    <t>FERRE 2283 (COMUNA 8) CABA</t>
  </si>
  <si>
    <t>15 2673-1023</t>
  </si>
  <si>
    <t>E.SOLA G.3P.14 SUAREZ Y AUSTRALIA - (COMUNA 4 ) CABA</t>
  </si>
  <si>
    <t>E.SOLA G.3P.14 SUAREZ Y AUSTRALIA</t>
  </si>
  <si>
    <t>4303-8394 4301-7425</t>
  </si>
  <si>
    <t>CALOS PELEGRINI 3750 - ( VALENTIN ALSINA )</t>
  </si>
  <si>
    <t>CALOS PELEGRINI 3750</t>
  </si>
  <si>
    <t>1524520473</t>
  </si>
  <si>
    <t>011-50228584</t>
  </si>
  <si>
    <t>CORRIDO DE 8 HS A 17 HS</t>
  </si>
  <si>
    <t>MENDEZ 2510 - ( CABA )</t>
  </si>
  <si>
    <t>MENDEZ 2510</t>
  </si>
  <si>
    <t>4919-7644</t>
  </si>
  <si>
    <t>LUCIO CORREA MORALES 2677 (COMUNA 8 ) CABA</t>
  </si>
  <si>
    <t>LUCIO CORREA MORALES 2677</t>
  </si>
  <si>
    <t>PERGAMINO 3552 - ( CABA )</t>
  </si>
  <si>
    <t>51943-2494</t>
  </si>
  <si>
    <t>ESTACION SOLA PINEDO 50 GALPON 4 PTA 3 y 4 - ( CABA )</t>
  </si>
  <si>
    <t>ESTACION SOLA PINEDO 50 GALPON 4 PTA 3 y 4</t>
  </si>
  <si>
    <t>BERON DE ASTRADA 2712 (COMUNA 8 ) CABA</t>
  </si>
  <si>
    <t>SANTA CATALINA 1769 - ( CABA )</t>
  </si>
  <si>
    <t>SANTA CATALINA 1769</t>
  </si>
  <si>
    <t>011-21585134</t>
  </si>
  <si>
    <t>RIO CUARTO 4838 - ( CABA )</t>
  </si>
  <si>
    <t>011 4312-9822</t>
  </si>
  <si>
    <t>PERGAMINO 3751 NAVE A BLOQUE 2 (COMUNA 8 ) CABA</t>
  </si>
  <si>
    <t>PERGAMINO 3751 NAVE A BLOQUE 2</t>
  </si>
  <si>
    <t>4911-4386</t>
  </si>
  <si>
    <t>AV. SAN PEDRITO 3771 - ( CABA )</t>
  </si>
  <si>
    <t>AV. SAN PEDRITO 3771</t>
  </si>
  <si>
    <t>49190293/9674/4376</t>
  </si>
  <si>
    <t>BERON DE ASTRADA 2791 (COMUNA 8 ) CABA</t>
  </si>
  <si>
    <t>PINEDO 50 GALPON 5 PTA 28 (COMUNA 4) CABA</t>
  </si>
  <si>
    <t>PINEDO 50 GALPON 5 PTA 28</t>
  </si>
  <si>
    <t>11 5102-5900</t>
  </si>
  <si>
    <t>27 DE FEBRERO 5515 - ( CABA )</t>
  </si>
  <si>
    <t>27 DE FEBRERO 5515</t>
  </si>
  <si>
    <t>6508-1085</t>
  </si>
  <si>
    <t>BERON DE ASTRADA 1920 (COMUNA 4 ) CABA</t>
  </si>
  <si>
    <t>BERON DE ASTRADA 1920 e/ Charrua y Matanza</t>
  </si>
  <si>
    <t>02317408004  - Darío  -</t>
  </si>
  <si>
    <t>POTOSI 1955 - ( VALENTIN ALSINA )</t>
  </si>
  <si>
    <t>POTOSI 1955</t>
  </si>
  <si>
    <t>Te: 011 4942 9903 / cel 299 5576202</t>
  </si>
  <si>
    <t>4919-8758</t>
  </si>
  <si>
    <t>SANTO DOMINGO 4040 (COMUNA 4 ) CABA</t>
  </si>
  <si>
    <t>SANTO DOMINGO 4040</t>
  </si>
  <si>
    <t xml:space="preserve"> 03564 44-5989</t>
  </si>
  <si>
    <t>PERGAMINO 3751 NAVE C BOCA 77 - ( CABA )</t>
  </si>
  <si>
    <t>PERGAMINO 3751 NAVE C BOCA 77</t>
  </si>
  <si>
    <t>CAMINO DE CNTURA 7600 EBTRE AV. OLIMPO Y PARTENON - ( ESTEBAN ECHEVERRIA )</t>
  </si>
  <si>
    <t>CAMINO DE CNTURA 7600 EBTRE AV. OLIMPO Y PARTENON</t>
  </si>
  <si>
    <t>ESTEBAN ECHEVERRIA</t>
  </si>
  <si>
    <t>1839</t>
  </si>
  <si>
    <t>11-1569686887</t>
  </si>
  <si>
    <t>AV. EREZCANO 3880 - ( CAP. FED. )</t>
  </si>
  <si>
    <t>AV. EREZCANO 3880</t>
  </si>
  <si>
    <t>4918-0004</t>
  </si>
  <si>
    <t>F. CARBONARI 1956 - LA BOCA</t>
  </si>
  <si>
    <t>54 9 341 590-9970</t>
  </si>
  <si>
    <t>JULIO TROXLER 3291 (COMUNA 8 ) CABA</t>
  </si>
  <si>
    <t>JULIO TROEXLER 3291</t>
  </si>
  <si>
    <t>1149190291</t>
  </si>
  <si>
    <t>ANCASTE 3060 (COMUNA 4 ) CABA</t>
  </si>
  <si>
    <t>ANCASTE 3060</t>
  </si>
  <si>
    <t>PARACAS 295 - ( CABA )</t>
  </si>
  <si>
    <t>LUNA 1299 - GALPON 11 - ( CABA )</t>
  </si>
  <si>
    <t>LUNA 1299 - GALPON 11</t>
  </si>
  <si>
    <t>POTOSI 1965 -VALENTIN ALSINA</t>
  </si>
  <si>
    <t>BERON DE ASTRADA 1922 (COMUNA 4) CABA</t>
  </si>
  <si>
    <t>BERON DE ASTRADA 1922</t>
  </si>
  <si>
    <t>11 2714</t>
  </si>
  <si>
    <t>4613-5841 / 1525750271</t>
  </si>
  <si>
    <t>AV. PTE. R. SAENZ PEÑA 720 - ( CAPITAL FEDERAL )</t>
  </si>
  <si>
    <t>AV. PTE. R. SAENZ PEÑA 720</t>
  </si>
  <si>
    <t>1035</t>
  </si>
  <si>
    <t>SEDE MISIONES - RUTA NAC 14KM 847, 10 - LEANDRO N. ALEM - 3315 CP</t>
  </si>
  <si>
    <t>COLECTORA ESTE 27559</t>
  </si>
  <si>
    <t>1122</t>
  </si>
  <si>
    <t>CABOTO 663 - ( LA BOCA -CAP FED )</t>
  </si>
  <si>
    <t>Av. Gral. Francisco Fernández de la Cruz 2340</t>
  </si>
  <si>
    <t xml:space="preserve"> 4919-3653</t>
  </si>
  <si>
    <t>RUTA 58 KM 10.5 Y RIOBAMBA 8001</t>
  </si>
  <si>
    <t>GUERNICA</t>
  </si>
  <si>
    <t>1862</t>
  </si>
  <si>
    <t>5005-3030</t>
  </si>
  <si>
    <t>HASTA LAS 17HS</t>
  </si>
  <si>
    <t>RIO LAVAYEN TRANSPORTE MONTEAGUDO 663 (COMUNA 4) CABA</t>
  </si>
  <si>
    <t>FERRE 2630 (COMUNA 8 ) CABA</t>
  </si>
  <si>
    <t>FERRE 2630</t>
  </si>
  <si>
    <t>4919-4329</t>
  </si>
  <si>
    <t>BERON DE ASTRADA 2791 (CABA)</t>
  </si>
  <si>
    <t>MOM 3574  -CABA</t>
  </si>
  <si>
    <t>6271-7708</t>
  </si>
  <si>
    <t>8.30hs a 16hs _x000D_
9 11 2784-8116</t>
  </si>
  <si>
    <t>49120186</t>
  </si>
  <si>
    <t>BERON DE ESTRADA 2836 (COMUNA 8 ) CABA</t>
  </si>
  <si>
    <t>BERON DE ESTRADA 2836</t>
  </si>
  <si>
    <t>FAMATINA 3305 -PQUE PATRICIOS</t>
  </si>
  <si>
    <t>4911-2850 / 65468067</t>
  </si>
  <si>
    <t>BERON DE ASTRADA 2888 (COMUNA 8) CABA</t>
  </si>
  <si>
    <t>BERON DE ASTRADA 2888</t>
  </si>
  <si>
    <t>60534779</t>
  </si>
  <si>
    <t>RIO CUARTO 4550/52</t>
  </si>
  <si>
    <t>011 49129942 - 00 1526773239</t>
  </si>
  <si>
    <t>DEPOSITO GARIN MERLINO</t>
  </si>
  <si>
    <t>TIERRA DEL FUEGO 2498</t>
  </si>
  <si>
    <t>GARIN</t>
  </si>
  <si>
    <t>1619</t>
  </si>
  <si>
    <t>TIERRA DEL FUEGO 2498-GARIN</t>
  </si>
  <si>
    <t>TIERRA DEL FUEGO 2498 -GARIN</t>
  </si>
  <si>
    <t>AV. PELLEGRINI 3552 VILLA SOLDATI</t>
  </si>
  <si>
    <t>1417</t>
  </si>
  <si>
    <t>CULPINA 3518 / 20 (COMUNA 8 ) CABA</t>
  </si>
  <si>
    <t>CULPINA 3518 / 20</t>
  </si>
  <si>
    <t>DR ENRIQUE SIMON PEREZ  5900-5988-GONZALEZ CATAN</t>
  </si>
  <si>
    <t>DR ENRIQUE SIMON PEREZ 5900-5988</t>
  </si>
  <si>
    <t>GONZALEZ CATAN</t>
  </si>
  <si>
    <t>1759</t>
  </si>
  <si>
    <t>011-68717900</t>
  </si>
  <si>
    <t>PINEDO 502 PTAS 29 A 32 (COMUNA 4 ) CABA</t>
  </si>
  <si>
    <t>PINEDO 502 PTAS 29 A 32</t>
  </si>
  <si>
    <t>PERGAMINO 3751 NAVE B MOD 52 (COMUNA 8 ) CABA</t>
  </si>
  <si>
    <t>PERGAMINO 3751 NAVE B MOD 52</t>
  </si>
  <si>
    <t>011  156 443208</t>
  </si>
  <si>
    <t>GF.CARBONARI 1956 (COMUNA 4 ) CABA</t>
  </si>
  <si>
    <t>1140344224</t>
  </si>
  <si>
    <t>IRIARTE 2775 - ( CAPITAL FEDERAL )</t>
  </si>
  <si>
    <t>IRIARTE 2775</t>
  </si>
  <si>
    <t>ESTANISLAO ZEBALLOS 333 - AVELLANEDA</t>
  </si>
  <si>
    <t>32848764</t>
  </si>
  <si>
    <t>BALBASTRO 3109 (COMUNA 7 ) CABA</t>
  </si>
  <si>
    <t>6599 1022</t>
  </si>
  <si>
    <t>CNEL ESTEBAN BONORINO 2763</t>
  </si>
  <si>
    <t>011 6503 7504</t>
  </si>
  <si>
    <t>1138630777</t>
  </si>
  <si>
    <t>O'GORMAN 3572 - CABA</t>
  </si>
  <si>
    <t>O'GORMAN 3572</t>
  </si>
  <si>
    <t>A. INT RABANAL 2818</t>
  </si>
  <si>
    <t>AV. INT. RABANAL 2818</t>
  </si>
  <si>
    <t>011 47943087  --1137590972</t>
  </si>
  <si>
    <t>PINEDO 850 GALPON 5 PUERTA 36 ESTACION SOLA (COMUNA 4 ) CABA</t>
  </si>
  <si>
    <t>PINEDO 850 GALPON 5 PUERTA 36 ESTACION SOLA</t>
  </si>
  <si>
    <t>01143021331</t>
  </si>
  <si>
    <t>FERRE 2351 (COMUNA 8) CABA</t>
  </si>
  <si>
    <t>11 5263 9815  /  351-7078383</t>
  </si>
  <si>
    <t>A. ALCORTA 3050 (COMUNA 4) CABA</t>
  </si>
  <si>
    <t>AMANCIO ALCORTA 3050</t>
  </si>
  <si>
    <t>11 6062 3687</t>
  </si>
  <si>
    <t>25 DE MAYO 1445 CAÑUELAS</t>
  </si>
  <si>
    <t>25 DE MAYO 1445</t>
  </si>
  <si>
    <t>CAÑUELAS</t>
  </si>
  <si>
    <t>1814</t>
  </si>
  <si>
    <t>02226 422710</t>
  </si>
  <si>
    <t>GRITO DE ASCENCIO 3759 - ( POMPEYA-CAPITAL )</t>
  </si>
  <si>
    <t>MONTESQUIEU 587 (COMUNA 4 ) CABA</t>
  </si>
  <si>
    <t>MONTESQUIEU 587</t>
  </si>
  <si>
    <t>PEPIRI 1535 (COMUNA 4) CABA</t>
  </si>
  <si>
    <t>JOSE C PAZ 3450 (COMUNA 4 ) CABA</t>
  </si>
  <si>
    <t>JOSE C PAZ 3450</t>
  </si>
  <si>
    <t>DR. RAMON CASTILLO 2176 - SAN MARTIN</t>
  </si>
  <si>
    <t>DR. RAMON CASTILLO 2176</t>
  </si>
  <si>
    <t>SAN MARTIN</t>
  </si>
  <si>
    <t>1650</t>
  </si>
  <si>
    <t>JOHN COOKE 3155 (COMUNA 8 ) CABA</t>
  </si>
  <si>
    <t>Madygraf - Panamericana 36700</t>
  </si>
  <si>
    <t>6811-5024</t>
  </si>
  <si>
    <t>1262</t>
  </si>
  <si>
    <t>JOHN WILLIAM COOKE 3155</t>
  </si>
  <si>
    <t>AV FRANCISCO RABANAL 2630</t>
  </si>
  <si>
    <t>11-55737050</t>
  </si>
  <si>
    <t>OSCAR N. BONAVENA 1268 -COMUNA 4</t>
  </si>
  <si>
    <t>OSCAR N. BONAVENA 1268</t>
  </si>
  <si>
    <t>9 3492 411269</t>
  </si>
  <si>
    <t>Cel. y WhatsApp: 3492 623760 / 411269</t>
  </si>
  <si>
    <t>LOS PATOS 2571 - ( P.PATRICIOS-CAPITAL )</t>
  </si>
  <si>
    <t>LOS PATOS 2571</t>
  </si>
  <si>
    <t>AMANCIO ALCORTA 3205 -COMUNA 4</t>
  </si>
  <si>
    <t>AMANCIO ALCORTA 3205</t>
  </si>
  <si>
    <t>PEPIRI 1321 -Comuna 4</t>
  </si>
  <si>
    <t>PEPIRI 1321</t>
  </si>
  <si>
    <t>3078-8527</t>
  </si>
  <si>
    <t>AV DR. HONORIO PUEYRREDON 6020</t>
  </si>
  <si>
    <t>VILLA ROSA</t>
  </si>
  <si>
    <t>1631</t>
  </si>
  <si>
    <t>DR PEDRO BALIÑA 3975</t>
  </si>
  <si>
    <t>JOHN W COOKE 3185</t>
  </si>
  <si>
    <t>PERGAMINO 3751 NAVE D</t>
  </si>
  <si>
    <t>O´ GORMAN 3016</t>
  </si>
  <si>
    <t>O´GORMAN 3016</t>
  </si>
  <si>
    <t>VARELA 3652</t>
  </si>
  <si>
    <t>AV. PERGAMINO 3751 NAVE B MOD 38-39 - ( CAPITAL FEDERAL )</t>
  </si>
  <si>
    <t>AV. PERGAMINO 3751 NAVE B MOD 38-39</t>
  </si>
  <si>
    <t>4301-7451</t>
  </si>
  <si>
    <t>AV.PINEDO Estac. SOLA GALPON 3 PTA.1y2 - ( CAPITAL FEDERAL )</t>
  </si>
  <si>
    <t>AV.PINEDO Estac. SOLA GALPON 3 PTA.1y2</t>
  </si>
  <si>
    <t>4301-6404</t>
  </si>
  <si>
    <t>PORTELA 3245 - ( SOLDATI-CAPITAL )</t>
  </si>
  <si>
    <t>PORTELA 3245</t>
  </si>
  <si>
    <t>SAN PEDRITO 2751 - ( SOLDATI CAPITAL )</t>
  </si>
  <si>
    <t>SAN PEDRITO 2751</t>
  </si>
  <si>
    <t>GRITO DE ASENCIO 3231 (COMUNA 4) CABA</t>
  </si>
  <si>
    <t>GRITO DE ASENCIO 3231</t>
  </si>
  <si>
    <t>4912-3903 / 3904</t>
  </si>
  <si>
    <t>CALLE 104 N.5565 - ( V.BILLINGHURST SAN MARTIN )</t>
  </si>
  <si>
    <t>CALLE 104 N.5565</t>
  </si>
  <si>
    <t>AC.CNEL.ROCA 3069 - ( SOLDATI-CAPITAL )</t>
  </si>
  <si>
    <t>AC.CNEL.ROCA 3069</t>
  </si>
  <si>
    <t>PERGAMINO 3751 NAVE B 29-30-31 (COMUNA 8) CABA</t>
  </si>
  <si>
    <t>PERGAMINO 3751 NAVE B 29-30-31</t>
  </si>
  <si>
    <t>5275-1960</t>
  </si>
  <si>
    <t>AUSTRALIA 2634 - ( CAPITAL FEDERAL )</t>
  </si>
  <si>
    <t>AUSTRALIA 2634</t>
  </si>
  <si>
    <t>SAN PEDRITO 3476 - ( SOLDATI CAPITAL )</t>
  </si>
  <si>
    <t>PERGAMINO 3751 NAVE A MOD 20 A 27 (COMUNA 8) CABA</t>
  </si>
  <si>
    <t>PERGAMINO 3757 NAVE A MOD 20 A 27</t>
  </si>
  <si>
    <t>5091-9000</t>
  </si>
  <si>
    <t>AV. OSVALDO CRUZ 3348</t>
  </si>
  <si>
    <t>AV. AMANCIO ALCORTA 1955 (COMUNA 4) CABA</t>
  </si>
  <si>
    <t>AV. AMANCIO ALCORTA 1955</t>
  </si>
  <si>
    <t>4305-4548  4304-1714</t>
  </si>
  <si>
    <t>INCLAN 3580 - ( CAPITAL FEDERAL )</t>
  </si>
  <si>
    <t>INCLAN 3580</t>
  </si>
  <si>
    <t>49210605</t>
  </si>
  <si>
    <t>INT.RABANAL 2662 (COMUNA 8) CABA</t>
  </si>
  <si>
    <t>IINTF.RABANAL 2662</t>
  </si>
  <si>
    <t>4919-7269</t>
  </si>
  <si>
    <t>ANCASTE 3791 - ( POMPEYA-CAPITAL )</t>
  </si>
  <si>
    <t>ANCASTE 3791</t>
  </si>
  <si>
    <t>ROCA Y PERGAMINO MODULO 76 NAVE 3 (COMUNA 8 ) CABA</t>
  </si>
  <si>
    <t>ROCA Y PERGAMINO MODULO 76 NAVE 3</t>
  </si>
  <si>
    <t>2206-2636</t>
  </si>
  <si>
    <t>MIRAVE 2720 - ( CAPITAL FEDERAL )</t>
  </si>
  <si>
    <t>MIRAVE 2720</t>
  </si>
  <si>
    <t>TILCARA 2731 PORTON 4-CABA</t>
  </si>
  <si>
    <t>TILCARA 2731 PORTON 4</t>
  </si>
  <si>
    <t>ARIETA 5335 - ( TABLADA )</t>
  </si>
  <si>
    <t>ARIETA 5335</t>
  </si>
  <si>
    <t>TABLADA</t>
  </si>
  <si>
    <t>1766</t>
  </si>
  <si>
    <t>B.DE ASTRADA 2850 - ( SOLDATI-CAPITAL )</t>
  </si>
  <si>
    <t>B.DE ASTRADA 2850</t>
  </si>
  <si>
    <t>ITAQUI 1854 - ( CAPITAL FEDERAL )</t>
  </si>
  <si>
    <t>ITAQUI 1854</t>
  </si>
  <si>
    <t>D.CABRED 4570 - ( POMPEYA )</t>
  </si>
  <si>
    <t>D.CABRED 4570</t>
  </si>
  <si>
    <t>VENTANA 3772 - ( POMPEYA-CAPITAL )</t>
  </si>
  <si>
    <t>MERCADO CENTRAL NAVE D1 PTA 79 - ( TAPIALES .BS AS )</t>
  </si>
  <si>
    <t>MERCADO CENTRAL NAVE D1 PTA 79</t>
  </si>
  <si>
    <t>1770</t>
  </si>
  <si>
    <t>4462-1085/1098</t>
  </si>
  <si>
    <t>FRUCTUOSO RIVERA 2660 - ( CAPITAL )</t>
  </si>
  <si>
    <t>4500-7324</t>
  </si>
  <si>
    <t>ANCASTE 3791 - ( CAPITAL FEDERAL )</t>
  </si>
  <si>
    <t>HERNANDARIAS 1300YMAGALLA - ( CAPITAL FEDERAL )</t>
  </si>
  <si>
    <t>HERNANDARIAS 1300YMAGALLA</t>
  </si>
  <si>
    <t>T.A.M.</t>
  </si>
  <si>
    <t>EMPRESA DE MARIA S.R.L</t>
  </si>
  <si>
    <t>EL AGUARA -RIVERO</t>
  </si>
  <si>
    <t>MANA LOGISTICA</t>
  </si>
  <si>
    <t>ALEN TRANSPORTE SRL</t>
  </si>
  <si>
    <t>ALEM EXPRESO</t>
  </si>
  <si>
    <t>MAIPUENSE</t>
  </si>
  <si>
    <t>PLUS ULTRA</t>
  </si>
  <si>
    <t>ALIANZA</t>
  </si>
  <si>
    <t>DOCA TRANSPORTE</t>
  </si>
  <si>
    <t>CTRO. DIST. QUILMES -EASY</t>
  </si>
  <si>
    <t>CAMET CARGA</t>
  </si>
  <si>
    <t>DOÑA ELISA</t>
  </si>
  <si>
    <t>VENESIA TRANSPORTE</t>
  </si>
  <si>
    <t>SIERRA -DON TORCUATO</t>
  </si>
  <si>
    <t>COFA</t>
  </si>
  <si>
    <t>KEMBER</t>
  </si>
  <si>
    <t>DEP. NTRA SRA DE LA ASUNCION CISA</t>
  </si>
  <si>
    <t>QUEBRACHO TANSPORTE</t>
  </si>
  <si>
    <t>SAN CAYETANO EXPRESO</t>
  </si>
  <si>
    <t>FULL TRANS EXPRESO</t>
  </si>
  <si>
    <t>NO USAR JESUS MARIA -Pque Patricios</t>
  </si>
  <si>
    <t>ARIAS TRANSPORTE</t>
  </si>
  <si>
    <t>NUEVO TRANSPORTE SRL</t>
  </si>
  <si>
    <t>SAN JORGE TRANSPORTE</t>
  </si>
  <si>
    <t>PINAMAR EXPRESO</t>
  </si>
  <si>
    <t>NO USAR, usar 504 (bs.as) MORRISON Tte. (CABA)</t>
  </si>
  <si>
    <t>DEL SUR TRANSPORTE</t>
  </si>
  <si>
    <t>BARADERO TRANSPORTE</t>
  </si>
  <si>
    <t>ALVEAR SUR TTE -Calle Crespo</t>
  </si>
  <si>
    <t>TRANSLUCAS</t>
  </si>
  <si>
    <t>LOGISTICA SATELITAL SRL</t>
  </si>
  <si>
    <t>RUTA 38</t>
  </si>
  <si>
    <t>LA RUTA TRANSPORTE</t>
  </si>
  <si>
    <t>SISSA EXPRESO</t>
  </si>
  <si>
    <t>DISTRIBUCION Y LOGISTICA TRANSPORTE</t>
  </si>
  <si>
    <t>SUARENSE EXPRESO</t>
  </si>
  <si>
    <t>VILLENSE EXPRESO</t>
  </si>
  <si>
    <t>MARI TRANSPORTE</t>
  </si>
  <si>
    <t>M.D.Q. TRANSPORTE</t>
  </si>
  <si>
    <t>4H EXPRESO SRL</t>
  </si>
  <si>
    <t>LOGANT EXPRESO</t>
  </si>
  <si>
    <t>QX LOGISTICA SA</t>
  </si>
  <si>
    <t>TRANSPORTE MAZZOLA</t>
  </si>
  <si>
    <t>LUJAN EXPRESO</t>
  </si>
  <si>
    <t>MALDONADO HNOS EXPRESO (PEPIRI)</t>
  </si>
  <si>
    <t>ASTUTI EXPRESO</t>
  </si>
  <si>
    <t>GLOBAL EXPRESO</t>
  </si>
  <si>
    <t>ARA VERA SRL TRANSPORTE</t>
  </si>
  <si>
    <t>MAXI CARGAS TRANSPORTE</t>
  </si>
  <si>
    <t>TRANSRE TRANSPORTE</t>
  </si>
  <si>
    <t>MESSA TRANSPORTE</t>
  </si>
  <si>
    <t>DE A 4 BAHIA EXPRESO</t>
  </si>
  <si>
    <t>SALMA TRANSPORTE</t>
  </si>
  <si>
    <t>SALMA TTE. (CABA)</t>
  </si>
  <si>
    <t>STAP TRANSPORTE SA</t>
  </si>
  <si>
    <t>TRANSFULL TTE SA</t>
  </si>
  <si>
    <t>EL SANTI TTE. ( TTE LA ROCA)</t>
  </si>
  <si>
    <t>TRES LOMAS TRANSPORTE</t>
  </si>
  <si>
    <t>MAR DEL PLATA EXPRESO</t>
  </si>
  <si>
    <t>SANCHEZ EXPRESO</t>
  </si>
  <si>
    <t>MARCELO TRANSPORTE</t>
  </si>
  <si>
    <t>TUÑON&amp;MOSSOTTO</t>
  </si>
  <si>
    <t>DOÑA RAMONA TRANSPORTE</t>
  </si>
  <si>
    <t>PANAMA EXPRESO</t>
  </si>
  <si>
    <t>GLOBALPACK SRL</t>
  </si>
  <si>
    <t>MAYO TRANSPORTE</t>
  </si>
  <si>
    <t>TRANSFULL TTE (SAN PEDRITO)</t>
  </si>
  <si>
    <t>SIRO</t>
  </si>
  <si>
    <t>EL RAPIDO -CTC</t>
  </si>
  <si>
    <t>GORGONE NICOLAS SRL</t>
  </si>
  <si>
    <t>BERATAPELLE/ CAROYO TTE</t>
  </si>
  <si>
    <t>RODRIGUEZ TRANSPORTE</t>
  </si>
  <si>
    <t>CARGO SA -BENAVIDEZ</t>
  </si>
  <si>
    <t>OLIVA</t>
  </si>
  <si>
    <t>MORO-FALLET</t>
  </si>
  <si>
    <t>CORREO ARGENTINO Suc MUNRO B0721</t>
  </si>
  <si>
    <t>CASPANI TRANSPORTE SRL</t>
  </si>
  <si>
    <t>BICENTENARIO SRL EXPRESO</t>
  </si>
  <si>
    <t>TRES LAGUNAS EXPRESO</t>
  </si>
  <si>
    <t>VESPRINI  (SPEGAZZINI)</t>
  </si>
  <si>
    <t>TRAFIPACK</t>
  </si>
  <si>
    <t>JUVENTUD</t>
  </si>
  <si>
    <t>MUÑOZ TRANSPORTE</t>
  </si>
  <si>
    <t>PACKMAN LOGISTICA SAS</t>
  </si>
  <si>
    <t>RUTA 25 TRANSPORTE (FARA)</t>
  </si>
  <si>
    <t>EXPRESO 25</t>
  </si>
  <si>
    <t>VIEJA TRANSPORTE</t>
  </si>
  <si>
    <t>TMP S.R.L.</t>
  </si>
  <si>
    <t>BRASIL TRANSPORTE</t>
  </si>
  <si>
    <t>N-B</t>
  </si>
  <si>
    <t>VIA CARGO -BOULOGNE</t>
  </si>
  <si>
    <t>CASELLI TRANSPORTE</t>
  </si>
  <si>
    <t>RUTA EXPRESS</t>
  </si>
  <si>
    <t>TARAGUI EXPRESO</t>
  </si>
  <si>
    <t>LOJO EXPRESO</t>
  </si>
  <si>
    <t>EL GALLEGO TRANSPORTE</t>
  </si>
  <si>
    <t>BECERRA</t>
  </si>
  <si>
    <t>CERES TRANSPORTE</t>
  </si>
  <si>
    <t>HADA TRANSPORTE</t>
  </si>
  <si>
    <t>RIBOTTA</t>
  </si>
  <si>
    <t>PUERTO NUEVO</t>
  </si>
  <si>
    <t>MASTER EXPRESO</t>
  </si>
  <si>
    <t>CHECA TRANSPORTE</t>
  </si>
  <si>
    <t>SANTI TRANSPORTE</t>
  </si>
  <si>
    <t>COMI-CAR SRL</t>
  </si>
  <si>
    <t>TARDUCCI TRANSPORTE</t>
  </si>
  <si>
    <t>BAHIA CENTRO</t>
  </si>
  <si>
    <t>A.C. EXPRESO</t>
  </si>
  <si>
    <t>GABRIEL</t>
  </si>
  <si>
    <t>CEMA EXPRESO</t>
  </si>
  <si>
    <t>MONTERO HNOS</t>
  </si>
  <si>
    <t>ARANAS</t>
  </si>
  <si>
    <t>RABBIONE SA</t>
  </si>
  <si>
    <t>TH</t>
  </si>
  <si>
    <t>EL AMANECER TRANSPORTE</t>
  </si>
  <si>
    <t>GONZALO EXPRESO</t>
  </si>
  <si>
    <t>DON MAX</t>
  </si>
  <si>
    <t>COBRA TRANSPORTE</t>
  </si>
  <si>
    <t>CAMUFER SA</t>
  </si>
  <si>
    <t>DE LA IGLESIA TRANSPORTE</t>
  </si>
  <si>
    <t>BIBILONI</t>
  </si>
  <si>
    <t>ESTRELLA FEDERAL</t>
  </si>
  <si>
    <t>SARITA TRANSPORTE</t>
  </si>
  <si>
    <t>PIGUE</t>
  </si>
  <si>
    <t>ALEGRE TRANSPORTE</t>
  </si>
  <si>
    <t>LOS AMIGOS</t>
  </si>
  <si>
    <t>UNION TRANS</t>
  </si>
  <si>
    <t>DON ELMER</t>
  </si>
  <si>
    <t>AMTRAC SA EXPRESO</t>
  </si>
  <si>
    <t>BELGRANO TRANSPORTE</t>
  </si>
  <si>
    <t>TRANSPORTES MORRISON</t>
  </si>
  <si>
    <t>LOSA</t>
  </si>
  <si>
    <t>TRANSPORTE UNION</t>
  </si>
  <si>
    <t>expreso Forntera de Segovia Hnos,</t>
  </si>
  <si>
    <t>TRANSPORTE MARTIN</t>
  </si>
  <si>
    <t>EXPRESO NUEVO VALLE</t>
  </si>
  <si>
    <t>NUEVA UNION TRANSPORTE</t>
  </si>
  <si>
    <t>NUEVA RUTA TRANSPORTE</t>
  </si>
  <si>
    <t>SAUER TRANSPORTE</t>
  </si>
  <si>
    <t>TRANSPORTE BOLIVIA SA</t>
  </si>
  <si>
    <t>TRANSPORTE SILTRANS</t>
  </si>
  <si>
    <t>BALUT EXPRESS</t>
  </si>
  <si>
    <t>TRANS-TAURO</t>
  </si>
  <si>
    <t>FACCIO EXPRESO</t>
  </si>
  <si>
    <t>SET LOGISTICA Y TRANSPORTE</t>
  </si>
  <si>
    <t>SAN ROQUE EXPRESO</t>
  </si>
  <si>
    <t>OMBU TRANSPORTE</t>
  </si>
  <si>
    <t>ALONSO TRANSPORTE</t>
  </si>
  <si>
    <t>PENTRE TRANSPORTE</t>
  </si>
  <si>
    <t>EL LUCERO</t>
  </si>
  <si>
    <t>VELOMAX EXPRESO</t>
  </si>
  <si>
    <t>ORTIZ TRANSPORTE</t>
  </si>
  <si>
    <t>TTE. NTRA SEÑORA DE LA ASUNCION</t>
  </si>
  <si>
    <t>TRANSPORTE MD</t>
  </si>
  <si>
    <t>RUTA 1</t>
  </si>
  <si>
    <t>MERIDIANO 2</t>
  </si>
  <si>
    <t>TRANSCIA EXPRESO</t>
  </si>
  <si>
    <t>LO BRUNO EXPRESO</t>
  </si>
  <si>
    <t>DIAGONAL EXPRESO</t>
  </si>
  <si>
    <t>NEXO LOGISTIC</t>
  </si>
  <si>
    <t>DRYON TRANSPORTE</t>
  </si>
  <si>
    <t>TRANS VEL-Buenos Aires Cargo</t>
  </si>
  <si>
    <t>EL TUYU</t>
  </si>
  <si>
    <t>FIN DEL MUNDO TRANSPORTE</t>
  </si>
  <si>
    <t>GEMEZ II</t>
  </si>
  <si>
    <t>SAITO TRANSPORTE SRL</t>
  </si>
  <si>
    <t>VENINGA EXPRESO</t>
  </si>
  <si>
    <t>NUEVO HORIZONTE</t>
  </si>
  <si>
    <t>CENTRO LOGISTICO</t>
  </si>
  <si>
    <t>HERMES LOGISTICA INTEGRAL</t>
  </si>
  <si>
    <t>OBERA S.R.L.</t>
  </si>
  <si>
    <t>LOGISTICO ENTRERRIANO -TEC</t>
  </si>
  <si>
    <t>CRUZ DEL SUR (C.T.C.)</t>
  </si>
  <si>
    <t>DA4BAHIA</t>
  </si>
  <si>
    <t>SERENA TTE</t>
  </si>
  <si>
    <t>BRANIC TRANSPORTE</t>
  </si>
  <si>
    <t>DON ROBERTO</t>
  </si>
  <si>
    <t>PULQUI PACK</t>
  </si>
  <si>
    <t>ALVEAR SUR -Valentin Alsina</t>
  </si>
  <si>
    <t>EL TERO</t>
  </si>
  <si>
    <t>NAVEIRA TRANSPORTE</t>
  </si>
  <si>
    <t>GRD ARGENTINA SRL CORREO PRIV RNPSP 462</t>
  </si>
  <si>
    <t>GUILLAN TRANSPORTE</t>
  </si>
  <si>
    <t>MATALLANA EXPRESO</t>
  </si>
  <si>
    <t>RUTAS MISIONERAS SRL</t>
  </si>
  <si>
    <t>DAIREAUX EXPRESO</t>
  </si>
  <si>
    <t>MESSA TRANSPORTE (Calle Caboto)</t>
  </si>
  <si>
    <t>LOGISTICA SALTA (CABA)</t>
  </si>
  <si>
    <t>ALAS PATAGONICAS</t>
  </si>
  <si>
    <t>DON ALFREDO</t>
  </si>
  <si>
    <t>SHARIF TRANSPORTE</t>
  </si>
  <si>
    <t>TRANGUAZU TRANSPORTE</t>
  </si>
  <si>
    <t>ALEX S.R.L.</t>
  </si>
  <si>
    <t>SANTULLI</t>
  </si>
  <si>
    <t>TRANSUNION DE PAOLINI</t>
  </si>
  <si>
    <t>EXPRESO ANTONELLA</t>
  </si>
  <si>
    <t>ALONSO-A.L. Ba</t>
  </si>
  <si>
    <t>ARKOBELYS S.R.L.</t>
  </si>
  <si>
    <t>CONTE</t>
  </si>
  <si>
    <t>SIERRA</t>
  </si>
  <si>
    <t>LUKE</t>
  </si>
  <si>
    <t>CHAVES HNOS.</t>
  </si>
  <si>
    <t>DON GREGORIO</t>
  </si>
  <si>
    <t>ILLIA</t>
  </si>
  <si>
    <t>B.H. EXPRESO</t>
  </si>
  <si>
    <t>ROSARIO LOGISTICA</t>
  </si>
  <si>
    <t>LAGO BS.AS.</t>
  </si>
  <si>
    <t>CTRO.DIST. EASY MUNRO</t>
  </si>
  <si>
    <t>EL ANGEL</t>
  </si>
  <si>
    <t>LOGISTICA DIFABIO</t>
  </si>
  <si>
    <t>AMERICANO</t>
  </si>
  <si>
    <t>TRANSPORTE AMTRAX</t>
  </si>
  <si>
    <t>TRANSPORTE COBRA</t>
  </si>
  <si>
    <t>PUERTAS DE CUYO SRL</t>
  </si>
  <si>
    <t>HENIN</t>
  </si>
  <si>
    <t>LOGISTICA CHAQUEÑA</t>
  </si>
  <si>
    <t>EXPRESO ROSARIO NORTE</t>
  </si>
  <si>
    <t>EXPRESO ROS MAR</t>
  </si>
  <si>
    <t>TTE. MIGUELITO</t>
  </si>
  <si>
    <t>MARINSALDA</t>
  </si>
  <si>
    <t>ESCORPIO TRANSPORTE</t>
  </si>
  <si>
    <t>Transporte El Impala</t>
  </si>
  <si>
    <t>EL IMPALA</t>
  </si>
  <si>
    <t>EL SOL MENDOCINO</t>
  </si>
  <si>
    <t>ESPINOSA</t>
  </si>
  <si>
    <t>TTE. MOSTRO</t>
  </si>
  <si>
    <t>ÑANDUBAY TRANSPORTE</t>
  </si>
  <si>
    <t>TTE. DON ANTONIO</t>
  </si>
  <si>
    <t>TRANSPORTE RODRIGO</t>
  </si>
  <si>
    <t>RODRIGO SRL</t>
  </si>
  <si>
    <t>DISTRILOG</t>
  </si>
  <si>
    <t>IRIS EXPRESS</t>
  </si>
  <si>
    <t>Trans- Vitale</t>
  </si>
  <si>
    <t>DIEMAR Cap. Fed.</t>
  </si>
  <si>
    <t>TUPA TRANSPORTES S.R.L.</t>
  </si>
  <si>
    <t>EXPRESO RIVADAVIA</t>
  </si>
  <si>
    <t>NUEVO EXPRESO DANTE</t>
  </si>
  <si>
    <t>GLOKER</t>
  </si>
  <si>
    <t>NO USAR -(CAMBIO A 445)-TRANSPORTE SANTI</t>
  </si>
  <si>
    <t>PACCINI</t>
  </si>
  <si>
    <t>EDUARDO PIRES</t>
  </si>
  <si>
    <t>SAN CARLOS</t>
  </si>
  <si>
    <t>T.L.C.</t>
  </si>
  <si>
    <t>LAZARO</t>
  </si>
  <si>
    <t>EXPRESO SAN NICOLAS</t>
  </si>
  <si>
    <t>SAN MARTIN TTE. (ITUZAINGO)</t>
  </si>
  <si>
    <t>EXPRESO ARANA</t>
  </si>
  <si>
    <t>EL PROVINCIANO</t>
  </si>
  <si>
    <t>CARNEVALI</t>
  </si>
  <si>
    <t>BARIBAHIA</t>
  </si>
  <si>
    <t>PATAGONIA NORTE (OGAR S.A.)</t>
  </si>
  <si>
    <t>VITALE TRANSPORTE</t>
  </si>
  <si>
    <t>BILLETA EXPRESO</t>
  </si>
  <si>
    <t>CALCABRINI EXPRESO</t>
  </si>
  <si>
    <t>MARPLUS EXPRESO</t>
  </si>
  <si>
    <t>TTE. BELGRANO  CTC</t>
  </si>
  <si>
    <t>LOJO TRANSPORTE</t>
  </si>
  <si>
    <t>CENTRO EXPRESO</t>
  </si>
  <si>
    <t>GUILLERMINA</t>
  </si>
  <si>
    <t>BOLIVAR EXPRESO</t>
  </si>
  <si>
    <t>UNION</t>
  </si>
  <si>
    <t>11 DE MARZO</t>
  </si>
  <si>
    <t>BALVERDE</t>
  </si>
  <si>
    <t>PAMPA SRL</t>
  </si>
  <si>
    <t>ALL- BOX</t>
  </si>
  <si>
    <t>BILETTA</t>
  </si>
  <si>
    <t>PAOLINI</t>
  </si>
  <si>
    <t>TTE. CASTELLI</t>
  </si>
  <si>
    <t>STELLO</t>
  </si>
  <si>
    <t>T.D.H.</t>
  </si>
  <si>
    <t>RIBOTTA SA</t>
  </si>
  <si>
    <t>TUYU EXPRESO</t>
  </si>
  <si>
    <t>JACARANDA TRANSPORTE</t>
  </si>
  <si>
    <t>BIN PACK SA</t>
  </si>
  <si>
    <t>MERLO TRANSPORTE</t>
  </si>
  <si>
    <t>MEDI-PACK EXPRESO</t>
  </si>
  <si>
    <t>CRUZ DEL SUR SA. (LINIERS)</t>
  </si>
  <si>
    <t>ROSARIO NORTE</t>
  </si>
  <si>
    <t>ALIMAR</t>
  </si>
  <si>
    <t>MORRISON Tte. (Bs As)</t>
  </si>
  <si>
    <t>ANDREA LOGISTICA Y DISTRIBUCION</t>
  </si>
  <si>
    <t>ETEC</t>
  </si>
  <si>
    <t>LENCINA TRANSPORTE (Calle Pedro Chutro)</t>
  </si>
  <si>
    <t>CREDIFIN</t>
  </si>
  <si>
    <t>EL CHAQUEÑO</t>
  </si>
  <si>
    <t>UNIDOS PACK</t>
  </si>
  <si>
    <t>SABELLA</t>
  </si>
  <si>
    <t>CARACOL</t>
  </si>
  <si>
    <t>TASSONI HNOS.</t>
  </si>
  <si>
    <t>LUCELI (EX VERACRUZ)</t>
  </si>
  <si>
    <t>PANYARE</t>
  </si>
  <si>
    <t>PAROLINA</t>
  </si>
  <si>
    <t>JESUS MARIA</t>
  </si>
  <si>
    <t>TRANSWAPO</t>
  </si>
  <si>
    <t>DEL PAISANITO</t>
  </si>
  <si>
    <t>TU ENVIO SRL</t>
  </si>
  <si>
    <t>EXPRESO YA</t>
  </si>
  <si>
    <t>SANTA ROSA EXPRESO</t>
  </si>
  <si>
    <t>DON ANTONIO</t>
  </si>
  <si>
    <t>EXPRESO ESTRELLA FEDERAL</t>
  </si>
  <si>
    <t>VILLA DOLORES</t>
  </si>
  <si>
    <t>ACER CAR</t>
  </si>
  <si>
    <t>GONZALES EXPRESO</t>
  </si>
  <si>
    <t>TRANSPORTE INCA</t>
  </si>
  <si>
    <t>MALARGUE</t>
  </si>
  <si>
    <t>DESEADO</t>
  </si>
  <si>
    <t>PEDRITO TRANSPORTE</t>
  </si>
  <si>
    <t>SPACAPAN</t>
  </si>
  <si>
    <t>EL PAISANITO</t>
  </si>
  <si>
    <t>CENTAURO SRL</t>
  </si>
  <si>
    <t>ARG CARGO  - AIR CARGO</t>
  </si>
  <si>
    <t>EXPRESO UNNO</t>
  </si>
  <si>
    <t>EL JESUITA</t>
  </si>
  <si>
    <t>NTRA.SRA.DE LA ASUNCION</t>
  </si>
  <si>
    <t>RODRIGUEZ</t>
  </si>
  <si>
    <t>NUB / LOS ASES</t>
  </si>
  <si>
    <t>SALTA EXPRESO</t>
  </si>
  <si>
    <t>CARRETEROS</t>
  </si>
  <si>
    <t>EMIR S.A.</t>
  </si>
  <si>
    <t>no usar HERNANDO</t>
  </si>
  <si>
    <t>BALCARCE</t>
  </si>
  <si>
    <t>PATTI E HIJOS</t>
  </si>
  <si>
    <t>BERRO</t>
  </si>
  <si>
    <t>V I P</t>
  </si>
  <si>
    <t>ARIES</t>
  </si>
  <si>
    <t>TODO CARGA</t>
  </si>
  <si>
    <t>EXPRESO CARLITOS</t>
  </si>
  <si>
    <t>DISSAN -DEP LU PACK</t>
  </si>
  <si>
    <t>LOGISTICA Y SERVICIOS SA</t>
  </si>
  <si>
    <t>TRANSPORTE GONZALEZ</t>
  </si>
  <si>
    <t>PAEZ HERMANOS S.R.L.</t>
  </si>
  <si>
    <t>M Y B (ESTAC.DE CARGA)</t>
  </si>
  <si>
    <t>LENCINA JUAN JOSE</t>
  </si>
  <si>
    <t>TRANSCOY</t>
  </si>
  <si>
    <t>MOYANO</t>
  </si>
  <si>
    <t>GOMEZ</t>
  </si>
  <si>
    <t>ARLEQUIN S.A.</t>
  </si>
  <si>
    <t>CARGO S.A.</t>
  </si>
  <si>
    <t>HEREDIA</t>
  </si>
  <si>
    <t>EL FORTIN</t>
  </si>
  <si>
    <t>ANDAR TRANSPORTE</t>
  </si>
  <si>
    <t>TRANS CARGO</t>
  </si>
  <si>
    <t>FRADAOS TRANSPORTE</t>
  </si>
  <si>
    <t>CORMAR</t>
  </si>
  <si>
    <t>GONZALEZ (CALLE ZUVIRIA)</t>
  </si>
  <si>
    <t>TARRES - TANSMARDEL</t>
  </si>
  <si>
    <t>JOUVE</t>
  </si>
  <si>
    <t>CARLITOS</t>
  </si>
  <si>
    <t>NAVARRO</t>
  </si>
  <si>
    <t>TRANSPORTE ANDREA (ex Eduardo Di Fabio )</t>
  </si>
  <si>
    <t>LINEA SUR</t>
  </si>
  <si>
    <t>LANCIONI</t>
  </si>
  <si>
    <t>MONTE HERMOSO ( ex seleme)</t>
  </si>
  <si>
    <t>AGUILAR</t>
  </si>
  <si>
    <t>CTRO DIST EASY</t>
  </si>
  <si>
    <t>SALTA EXPRESO S.R.L.</t>
  </si>
  <si>
    <t>ORCA SRL</t>
  </si>
  <si>
    <t>LA PAZ</t>
  </si>
  <si>
    <t>NUEVA RUTA</t>
  </si>
  <si>
    <t>PRIVITERA TRANSPORTE S.R.L.</t>
  </si>
  <si>
    <t>EL MINGO</t>
  </si>
  <si>
    <t>DIEMAR</t>
  </si>
  <si>
    <t>TRANS-DAN DE ADRU S.R.L.</t>
  </si>
  <si>
    <t>EL PAQUETE</t>
  </si>
  <si>
    <t>ANDINA TRANSPORTE</t>
  </si>
  <si>
    <t>LOGISTICA V W</t>
  </si>
  <si>
    <t>AZUL EXPRESO SRL</t>
  </si>
  <si>
    <t>SOL CUYANO</t>
  </si>
  <si>
    <t>RUTA 11</t>
  </si>
  <si>
    <t>CAROLO Y ASOCIADOS</t>
  </si>
  <si>
    <t>GARMENDIA EXPRESO</t>
  </si>
  <si>
    <t>E.G</t>
  </si>
  <si>
    <t>TTE EL ANGEL</t>
  </si>
  <si>
    <t>GALLO</t>
  </si>
  <si>
    <t>EXPRESO SEGA</t>
  </si>
  <si>
    <t>SOL-MAR SRL</t>
  </si>
  <si>
    <t>CIARLANTINI</t>
  </si>
  <si>
    <t>TRANSPORTE TENAGLIA</t>
  </si>
  <si>
    <t>QUINTA</t>
  </si>
  <si>
    <t>DI MAR</t>
  </si>
  <si>
    <t>PONCE EXPRESO</t>
  </si>
  <si>
    <t>SEDANO</t>
  </si>
  <si>
    <t>DI PARDO</t>
  </si>
  <si>
    <t>SAN NICOLAS TRANSPORTE</t>
  </si>
  <si>
    <t>13 DE AGOSTO</t>
  </si>
  <si>
    <t>DAS TRANSPORTE</t>
  </si>
  <si>
    <t>DE LA VEGA DE L.H. SRL.</t>
  </si>
  <si>
    <t>CHANGO</t>
  </si>
  <si>
    <t>EXPRESO ARGENTINO</t>
  </si>
  <si>
    <t>NOROESTE S.A.</t>
  </si>
  <si>
    <t>VILLANOVA ANTONIO C.</t>
  </si>
  <si>
    <t>DEVECHI</t>
  </si>
  <si>
    <t>DEPOSITO DOMINGO GRANJA</t>
  </si>
  <si>
    <t>RUTAS DEL VALLE S.R.L.</t>
  </si>
  <si>
    <t>TIASA</t>
  </si>
  <si>
    <t>VUELTA REDONDA (EX MOYANO)</t>
  </si>
  <si>
    <t>AM MATERIALES TTE</t>
  </si>
  <si>
    <t>BRECCIA SRL</t>
  </si>
  <si>
    <t>HENRI</t>
  </si>
  <si>
    <t>EXPRESO RODRIGO</t>
  </si>
  <si>
    <t>SCH SRL</t>
  </si>
  <si>
    <t>TRANS-CITY S.R.L.</t>
  </si>
  <si>
    <t>JUMBO SRL</t>
  </si>
  <si>
    <t>L.B.</t>
  </si>
  <si>
    <t>DEPOSITO SAVIA SRL</t>
  </si>
  <si>
    <t>INTERPROVINCIAL S.R.L.</t>
  </si>
  <si>
    <t>PACHULA</t>
  </si>
  <si>
    <t>FERRERO</t>
  </si>
  <si>
    <t>CAMPANA S.A.</t>
  </si>
  <si>
    <t>LIDER</t>
  </si>
  <si>
    <t>MARINI</t>
  </si>
  <si>
    <t>LUJAN DE CUYO EXPRESO SA</t>
  </si>
  <si>
    <t>SAN ROQUE</t>
  </si>
  <si>
    <t>HUEMUL</t>
  </si>
  <si>
    <t>ALARCON TRANSPORTE</t>
  </si>
  <si>
    <t>CORDILLERA</t>
  </si>
  <si>
    <t>SPS EXPRESS</t>
  </si>
  <si>
    <t>IMPERIAL S.R.L.</t>
  </si>
  <si>
    <t>T.I.C.A.  SRL.</t>
  </si>
  <si>
    <t>PILONI</t>
  </si>
  <si>
    <t>CENTRAL ARGENTINO S.A.</t>
  </si>
  <si>
    <t>BIN HERMANOS S.C.A.</t>
  </si>
  <si>
    <t>BIENE LOGISTICA (AVELLI)</t>
  </si>
  <si>
    <t>EDU - TRANS</t>
  </si>
  <si>
    <t>REBE</t>
  </si>
  <si>
    <t>DISTRIRED S.A.</t>
  </si>
  <si>
    <t>RUIZ S.A</t>
  </si>
  <si>
    <t>ANGELICA S.A</t>
  </si>
  <si>
    <t>T.A.S. CAR SRL</t>
  </si>
  <si>
    <t>MOSTTO S.H  (CTC)</t>
  </si>
  <si>
    <t>COPAR</t>
  </si>
  <si>
    <t>EL ARAUCANO</t>
  </si>
  <si>
    <t>SAN ESTEBAN</t>
  </si>
  <si>
    <t>DON JOSE</t>
  </si>
  <si>
    <t>JORGE SANTI</t>
  </si>
  <si>
    <t>EL TAJAMAR</t>
  </si>
  <si>
    <t>SAN JOSE S.R.L. TRANSPORTE</t>
  </si>
  <si>
    <t>PARIMAL</t>
  </si>
  <si>
    <t>T.E.C. LOGISTICA Y DISTRIBUCIO</t>
  </si>
  <si>
    <t>NT.SERVICIOS</t>
  </si>
  <si>
    <t>COTIL CARG S.A.</t>
  </si>
  <si>
    <t>NUEVO SUR SRL</t>
  </si>
  <si>
    <t>BOGDWAN</t>
  </si>
  <si>
    <t>NUEVO VALLE</t>
  </si>
  <si>
    <t>RIVADAVIA EXPRESO</t>
  </si>
  <si>
    <t>DON FRANCISCO</t>
  </si>
  <si>
    <t>FERROCARGAS DEL SUR</t>
  </si>
  <si>
    <t>UNION DE JUAN Y JOSE PARENTE</t>
  </si>
  <si>
    <t>PUNILLA</t>
  </si>
  <si>
    <t>EL TREBOL</t>
  </si>
  <si>
    <t>LOURDES</t>
  </si>
  <si>
    <t>EL MERIDIANO</t>
  </si>
  <si>
    <t>RINA TRANSPORTE</t>
  </si>
  <si>
    <t>VERSAT</t>
  </si>
  <si>
    <t>ANDINA TRANSPORTADORA</t>
  </si>
  <si>
    <t>MAIPU</t>
  </si>
  <si>
    <t>LARRAZ</t>
  </si>
  <si>
    <t>LAN CARG SRL</t>
  </si>
  <si>
    <t>VIA BARILOCHE</t>
  </si>
  <si>
    <t>MALVICINO</t>
  </si>
  <si>
    <t>BAISUR</t>
  </si>
  <si>
    <t>LUCES</t>
  </si>
  <si>
    <t>PLATAMAR</t>
  </si>
  <si>
    <t>T.A.C.</t>
  </si>
  <si>
    <t>INCA</t>
  </si>
  <si>
    <t>TROLE EXPRESO</t>
  </si>
  <si>
    <t>CRISOL</t>
  </si>
  <si>
    <t>COTTA</t>
  </si>
  <si>
    <t>CHAP Y CIA SA</t>
  </si>
  <si>
    <t>A TIEMPO SRL</t>
  </si>
  <si>
    <t>FOR ZAP (de LUED SA)</t>
  </si>
  <si>
    <t>VIA AZUL</t>
  </si>
  <si>
    <t>NORPATAGONICO EXPRESO</t>
  </si>
  <si>
    <t>FORMOSA</t>
  </si>
  <si>
    <t>UNITRANS</t>
  </si>
  <si>
    <t>EXPRESO SANCHEZ</t>
  </si>
  <si>
    <t>2 CIUDADES</t>
  </si>
  <si>
    <t>PUNTA ALTA</t>
  </si>
  <si>
    <t>BAHIA</t>
  </si>
  <si>
    <t>PLANISIQ</t>
  </si>
  <si>
    <t>TOP LINE</t>
  </si>
  <si>
    <t>CAMARA DE COMERCIO</t>
  </si>
  <si>
    <t>EL FARO</t>
  </si>
  <si>
    <t>no usar, usar 101 SANTA RITA</t>
  </si>
  <si>
    <t>BAHIJET</t>
  </si>
  <si>
    <t>MESOPOTAMICA</t>
  </si>
  <si>
    <t>FRIO CERRI DE A.LUCANERA</t>
  </si>
  <si>
    <t>DEPOSITO IMCOFUE</t>
  </si>
  <si>
    <t>SAN ANTONIO</t>
  </si>
  <si>
    <t>EN CARGO (CHARACANI CARGAS )</t>
  </si>
  <si>
    <t>LA SEVILLANITA</t>
  </si>
  <si>
    <t>ROCINANTE EXPRESO S.R.L.</t>
  </si>
  <si>
    <t>MARCOS JUAREZ TTE.</t>
  </si>
  <si>
    <t>CHOS MALAL</t>
  </si>
  <si>
    <t>DEPOSITO DEL BLANCO H.Y L.</t>
  </si>
  <si>
    <t>RIDISSI</t>
  </si>
  <si>
    <t>EL SOL</t>
  </si>
  <si>
    <t>RIO LAVAYEN TRANSPORTE</t>
  </si>
  <si>
    <t>NATIVIDAD TTE</t>
  </si>
  <si>
    <t>FILARDI (VALENTIN ALSINA)</t>
  </si>
  <si>
    <t>CAMUSSO FLAVIO ANDRES</t>
  </si>
  <si>
    <t>B.J.</t>
  </si>
  <si>
    <t>PETROVALLE S.A.T.</t>
  </si>
  <si>
    <t>TAVERNA</t>
  </si>
  <si>
    <t>ALVEAR SUR</t>
  </si>
  <si>
    <t>DEMONTE EXPRESO</t>
  </si>
  <si>
    <t>MARENGHINI S.R.L.</t>
  </si>
  <si>
    <t>EL LITORAL</t>
  </si>
  <si>
    <t>ORO NEGRO</t>
  </si>
  <si>
    <t>EL PAMPERO</t>
  </si>
  <si>
    <t>RODRIGUEZ RAMON</t>
  </si>
  <si>
    <t>CHILECITO S.R.L. (VESELY SRL)</t>
  </si>
  <si>
    <t>DI PASCUALI</t>
  </si>
  <si>
    <t>DON CARMELO</t>
  </si>
  <si>
    <t>ABREU</t>
  </si>
  <si>
    <t>LEON-VA</t>
  </si>
  <si>
    <t>RUTALMAR S.A.</t>
  </si>
  <si>
    <t>ROZA</t>
  </si>
  <si>
    <t>DEMARLENGUE E HIJOS</t>
  </si>
  <si>
    <t>EL CARRIZAL S.A.</t>
  </si>
  <si>
    <t>LEAL S.R.L.</t>
  </si>
  <si>
    <t>EST.DE CARGAS SAENZ</t>
  </si>
  <si>
    <t>NOA</t>
  </si>
  <si>
    <t>SANTA RITA EXPRESO</t>
  </si>
  <si>
    <t>EL PORVENIR</t>
  </si>
  <si>
    <t>DEPOSITO MARKTI</t>
  </si>
  <si>
    <t>ALAS</t>
  </si>
  <si>
    <t>LAS HERAS</t>
  </si>
  <si>
    <t>RICHTER S.A.C.I.M</t>
  </si>
  <si>
    <t>CABALLERO</t>
  </si>
  <si>
    <t>TRANS-NORTE S.A.</t>
  </si>
  <si>
    <t>DEPOSITO CORRALON EL BOLSON</t>
  </si>
  <si>
    <t>EL BOLSON TRANSPORTADORA</t>
  </si>
  <si>
    <t>MUSI</t>
  </si>
  <si>
    <t>TIM-CAR</t>
  </si>
  <si>
    <t>CAROSSIO-VAIROLATTI Y CIA SRL</t>
  </si>
  <si>
    <t>MUSTANG</t>
  </si>
  <si>
    <t>PREMAT</t>
  </si>
  <si>
    <t>ASCENCIO</t>
  </si>
  <si>
    <t>IDEAL</t>
  </si>
  <si>
    <t>ALTA GRACIA SRL</t>
  </si>
  <si>
    <t>HERAL S.R.L.</t>
  </si>
  <si>
    <t>SALCAR</t>
  </si>
  <si>
    <t>CARENA</t>
  </si>
  <si>
    <t>INTERPACK S.A.</t>
  </si>
  <si>
    <t>DEPOSITO DEHESA</t>
  </si>
  <si>
    <t>NAVALES</t>
  </si>
  <si>
    <t>CAMIONERA ANDINA - LUTRACK</t>
  </si>
  <si>
    <t>S.A.R.I.T.A</t>
  </si>
  <si>
    <t>COSEANI JUAN C.</t>
  </si>
  <si>
    <t>DEPOSITO LOPEZ</t>
  </si>
  <si>
    <t>CIRCOLANI</t>
  </si>
  <si>
    <t>PARIS</t>
  </si>
  <si>
    <t>VILLA ANGELA S.R.L.</t>
  </si>
  <si>
    <t>NO USAR QUINTEROS S.R.L(CENTRO DE TRANSPORTE</t>
  </si>
  <si>
    <t>SNAIDER</t>
  </si>
  <si>
    <t>MAKLAYR S.A.</t>
  </si>
  <si>
    <t>CARGAS DEL NORTE</t>
  </si>
  <si>
    <t>HERMES DEL SUR</t>
  </si>
  <si>
    <t>VALLE DE LERMA</t>
  </si>
  <si>
    <t>DEPOSITO SEVILLANO MAT.Y SERV.</t>
  </si>
  <si>
    <t>ELISERO</t>
  </si>
  <si>
    <t>SET LOGISTICA</t>
  </si>
  <si>
    <t>NUEVA ALIANZA</t>
  </si>
  <si>
    <t>DAGOL</t>
  </si>
  <si>
    <t>EL NENU</t>
  </si>
  <si>
    <t>BALMAR</t>
  </si>
  <si>
    <t>LA ESTRELLA</t>
  </si>
  <si>
    <t>CAPITAN CORTEZ - DEP. FISCAL</t>
  </si>
  <si>
    <t>VESPRINI (San Justo)</t>
  </si>
  <si>
    <t>TRUCKS EXPRESS</t>
  </si>
  <si>
    <t>MENDEZ A.J.E.</t>
  </si>
  <si>
    <t>AGUIRRE LOGISTICA</t>
  </si>
  <si>
    <t>CARLITOS TRANSP. (ESTACION SOLA)</t>
  </si>
  <si>
    <t>DEPOSITO SYNCOR - PERREN</t>
  </si>
  <si>
    <t>FERRARO TRANSPORTE</t>
  </si>
  <si>
    <t>MAZZOLA DEPOSITO</t>
  </si>
  <si>
    <t>MAIPU EXPRESO (CTC)</t>
  </si>
  <si>
    <t>SICA TRANSPORTE</t>
  </si>
  <si>
    <t>HARISTOY EXPRESO SA</t>
  </si>
  <si>
    <t>ROMAR EXPRESO</t>
  </si>
  <si>
    <t>HIPPO CARGO</t>
  </si>
  <si>
    <t>TRANSTOTAL PACK</t>
  </si>
  <si>
    <t>RAOSA TRANSPORTE</t>
  </si>
  <si>
    <t>LOGISTICA SALTA (AVELLANEDA)</t>
  </si>
  <si>
    <t>EL PAMPA</t>
  </si>
  <si>
    <t>TAQSA</t>
  </si>
  <si>
    <t>LAB EXPRESO</t>
  </si>
  <si>
    <t>HISCHER TRANSPORTE</t>
  </si>
  <si>
    <t>ITALIA TRANSPORTE</t>
  </si>
  <si>
    <t>JET EXPRESO</t>
  </si>
  <si>
    <t>TON TRANSPORTE</t>
  </si>
  <si>
    <t>ALFA EXPRESO</t>
  </si>
  <si>
    <t>KELY SA TRANSPORTE</t>
  </si>
  <si>
    <t>MF TRANSPORTE</t>
  </si>
  <si>
    <t>EL RAPIDO</t>
  </si>
  <si>
    <t>EL COLORADO</t>
  </si>
  <si>
    <t>IMAZ S R L</t>
  </si>
  <si>
    <t>J.E LOGISTICA ( ex gabelli)</t>
  </si>
  <si>
    <t>ORLANDO MORRESI</t>
  </si>
  <si>
    <t>TRANSPORTE RODRIGUEZ HNOS.SRL</t>
  </si>
  <si>
    <t>SZILAK</t>
  </si>
  <si>
    <t>BISONTE S R L</t>
  </si>
  <si>
    <t>GONZALEZ JUAN CARLOS</t>
  </si>
  <si>
    <t>SCOR-DINA S.A.</t>
  </si>
  <si>
    <t>DEL NORTE INTEGRAL S.R.L.</t>
  </si>
  <si>
    <t>SAN ESTEBAN SRL</t>
  </si>
  <si>
    <t>CRUZ DEL SUR SA. (Tapiales)</t>
  </si>
  <si>
    <t>A.L.A.</t>
  </si>
  <si>
    <t>QUIBIK LOGISTICA SAS (RIGAR)</t>
  </si>
  <si>
    <t>PICO S.R.L.</t>
  </si>
  <si>
    <t>MORABITO SRL</t>
  </si>
  <si>
    <t>FRASER TRANSPORTE</t>
  </si>
  <si>
    <t>RUTA SUR</t>
  </si>
  <si>
    <t>ZIEGLER TRANSPORTACIONES SA.</t>
  </si>
  <si>
    <t>CONTINENTAL</t>
  </si>
  <si>
    <t>ORO BLANCO</t>
  </si>
  <si>
    <t>PRADA TRANSPORTE</t>
  </si>
  <si>
    <t>MANENTI JULIO E HIJOS</t>
  </si>
  <si>
    <t>MARAL SRL</t>
  </si>
  <si>
    <t>SUD ATLANTICO S.R.L.</t>
  </si>
  <si>
    <t>NAPOSTA</t>
  </si>
  <si>
    <t>LA TRANSPORTADORA</t>
  </si>
  <si>
    <t>BAIRES LOGISTICA</t>
  </si>
  <si>
    <t>BRIO</t>
  </si>
  <si>
    <t>BENOZA S.R.L.</t>
  </si>
  <si>
    <t>SEDICA S.A. - TRADELOG</t>
  </si>
  <si>
    <t>NANDUBAY</t>
  </si>
  <si>
    <t>RODAR</t>
  </si>
  <si>
    <t>ALMAFUERTE S.R.L.</t>
  </si>
  <si>
    <t>DEPOSITO PROALSA</t>
  </si>
  <si>
    <t>EXPRESO FUEGUINO</t>
  </si>
  <si>
    <t>SAUNIG</t>
  </si>
  <si>
    <t>EL ZONDA</t>
  </si>
  <si>
    <t>20 DE OCTUBRE</t>
  </si>
  <si>
    <t>ESPERANZA</t>
  </si>
  <si>
    <t>LUCERO SRL</t>
  </si>
  <si>
    <t>DEPOSITO MATERIALES SUR</t>
  </si>
  <si>
    <t>LB S.A. EXPRESO (EX O.M.A.R.)</t>
  </si>
  <si>
    <t>M.Z.</t>
  </si>
  <si>
    <t>SUDAMERICANOS S.A.</t>
  </si>
  <si>
    <t>DI BATTISTA</t>
  </si>
  <si>
    <t>TATU</t>
  </si>
  <si>
    <t>EL QUEBRACHITO S.A.</t>
  </si>
  <si>
    <t>EL VASQUITO</t>
  </si>
  <si>
    <t>SAN PEDRO S.H.</t>
  </si>
  <si>
    <t>SUPER 73 TRANSPORTES</t>
  </si>
  <si>
    <t>AMANES EXPRESO</t>
  </si>
  <si>
    <t>VALLE TRANSPORTE</t>
  </si>
  <si>
    <t>SCROPANICH TRANSPORTE</t>
  </si>
  <si>
    <t>SAN CAYETANO TTE (O'GORMAN)</t>
  </si>
  <si>
    <t>JOSE EXPRESO (CERRADO)</t>
  </si>
  <si>
    <t>MERCURE SRL (Valentin Alsina)</t>
  </si>
  <si>
    <t>DON LUCHO</t>
  </si>
  <si>
    <t>ALCUVA EXPRESO</t>
  </si>
  <si>
    <t>LENCINA TRANSPORTE (Calle LUCIO CORREA MORALES)</t>
  </si>
  <si>
    <t>EL TREBOL EXPRESO</t>
  </si>
  <si>
    <t>TH TRANSPORTE</t>
  </si>
  <si>
    <t>TRES HERMANOS TTE.</t>
  </si>
  <si>
    <t>SAN AURELIO - 3 Hi B Services SRL</t>
  </si>
  <si>
    <t>MERCURE SRL (AVELLANEDA)</t>
  </si>
  <si>
    <t>DELOG S.A.</t>
  </si>
  <si>
    <t>CAMIONERA MENDOCINA CENTRO LOGISTICO</t>
  </si>
  <si>
    <t>EL NUEVO RESERO</t>
  </si>
  <si>
    <t>ARIAS TRANSPORTE (PINEDO 50)</t>
  </si>
  <si>
    <t>NAVEXPRES</t>
  </si>
  <si>
    <t>RUTA 5 EXPRESO</t>
  </si>
  <si>
    <t>RIOS DEL SUR EXPRESO</t>
  </si>
  <si>
    <t>MENDES</t>
  </si>
  <si>
    <t>BBB EXPRESS</t>
  </si>
  <si>
    <t>GLOBAL TRUCK TRANSPORTE</t>
  </si>
  <si>
    <t>PARADOR 9 DE ABRIL</t>
  </si>
  <si>
    <t>T D C LOGISTICA</t>
  </si>
  <si>
    <t>ACI TRANSPORTE</t>
  </si>
  <si>
    <t>IROS TRANSPORTE</t>
  </si>
  <si>
    <t>A.R.A. TRANSPORTE</t>
  </si>
  <si>
    <t>LAST EXPRESS SRL</t>
  </si>
  <si>
    <t>LOGISTICA RAUCH</t>
  </si>
  <si>
    <t>TRANSPORTE SANELI SRL</t>
  </si>
  <si>
    <t>TRANSFARO S.R.L.</t>
  </si>
  <si>
    <t>EASY PAQ EXPRESO</t>
  </si>
  <si>
    <t>TRANSPORTE MITRE</t>
  </si>
  <si>
    <t>MOSTTO S.H</t>
  </si>
  <si>
    <t>TITO TRANSPORTE</t>
  </si>
  <si>
    <t>JDA  TRANSPORTE</t>
  </si>
  <si>
    <t>DEPOSITO MERLINO GARIN</t>
  </si>
  <si>
    <t>CENTAURO EXPRESO (SOLDATI)</t>
  </si>
  <si>
    <t>TIO RICO EXPRESO</t>
  </si>
  <si>
    <t>LOGISTICA SAN MARTIN</t>
  </si>
  <si>
    <t>LOGISTICA MAGABO</t>
  </si>
  <si>
    <t>LOGISTICA Y DISTRIBUCION GARCIA TANDIL SRL</t>
  </si>
  <si>
    <t>GRIMAR LOGISTICA</t>
  </si>
  <si>
    <t>TB LOGISTICA</t>
  </si>
  <si>
    <t>MERCURE (AVELLANEDA)</t>
  </si>
  <si>
    <t>GRUPO NAVA</t>
  </si>
  <si>
    <t>LOG PIC EXPRESO</t>
  </si>
  <si>
    <t>TOKIO EXPRESO</t>
  </si>
  <si>
    <t>GUARNERI S.A.</t>
  </si>
  <si>
    <t>ANDREANI - SAN MARTIN</t>
  </si>
  <si>
    <t>DEPOSITO DBC -GARIN</t>
  </si>
  <si>
    <t>BARILOCHE TRANSPORTE</t>
  </si>
  <si>
    <t>MELLY TRANSPORTE</t>
  </si>
  <si>
    <t>NUEVA ROMA TRANSPORTE</t>
  </si>
  <si>
    <t>BARA PACK EXPRESO</t>
  </si>
  <si>
    <t>LURO TRANSPORTE</t>
  </si>
  <si>
    <t>STEFANO TRANSPORTE</t>
  </si>
  <si>
    <t>FRONTERA</t>
  </si>
  <si>
    <t>BELIO</t>
  </si>
  <si>
    <t>BRINATTI</t>
  </si>
  <si>
    <t>BRANCHERO</t>
  </si>
  <si>
    <t>EN VIAR</t>
  </si>
  <si>
    <t>HD EXPRESO</t>
  </si>
  <si>
    <t>LEZANA</t>
  </si>
  <si>
    <t>CAVIGLIA</t>
  </si>
  <si>
    <t>MIRAMAR TRANSPORTE</t>
  </si>
  <si>
    <t>LOGINCOR</t>
  </si>
  <si>
    <t>MAZZOLA CABA</t>
  </si>
  <si>
    <t>GEMEZ BARRACAS DEPOSITO FISCAL</t>
  </si>
  <si>
    <t>BASILI</t>
  </si>
  <si>
    <t>LDC TRANSPORTE</t>
  </si>
  <si>
    <t>SLP SERVIOS LOGISTICOS POSTALES</t>
  </si>
  <si>
    <t>EL PADRINO</t>
  </si>
  <si>
    <t>MALDONADO EXPRESO (A.ALCORTA)</t>
  </si>
  <si>
    <t>PILAR TRADE CENTER</t>
  </si>
  <si>
    <t>Nombre</t>
  </si>
  <si>
    <t>PARQUE CHACABUCO</t>
  </si>
  <si>
    <t>TAPIALES</t>
  </si>
  <si>
    <t>QUILMES</t>
  </si>
  <si>
    <t>Localidad</t>
  </si>
  <si>
    <t>Direccion</t>
  </si>
  <si>
    <t>LA MATANZA</t>
  </si>
  <si>
    <t>Agrupador</t>
  </si>
  <si>
    <t>Retiro Personal Deposito</t>
  </si>
  <si>
    <t>MONTES DE OCA 6340</t>
  </si>
  <si>
    <t>RETIRA</t>
  </si>
  <si>
    <t>RETIRA CLIENTE</t>
  </si>
  <si>
    <t>RETIRA RIVADAVIA</t>
  </si>
  <si>
    <t>RETIRA REPOSITOR EASY</t>
  </si>
  <si>
    <t>RETIRA VENDEDOR</t>
  </si>
  <si>
    <t>RETIRA MONTES DE OCA</t>
  </si>
  <si>
    <t>AGRUPADOR 7</t>
  </si>
  <si>
    <t>AGRUPADOR 1</t>
  </si>
  <si>
    <t>AGRUPADOR 4</t>
  </si>
  <si>
    <t>AGRUPADOR 6</t>
  </si>
  <si>
    <t>AGRUPADOR 2</t>
  </si>
  <si>
    <t>ESTACION SOLA</t>
  </si>
  <si>
    <t>FLORES</t>
  </si>
  <si>
    <t>LA BOCA</t>
  </si>
  <si>
    <t>OTROS</t>
  </si>
  <si>
    <t>PENDIENTE</t>
  </si>
  <si>
    <t>Zona Agrupador</t>
  </si>
  <si>
    <t>CABA NORTE</t>
  </si>
  <si>
    <t>CABA SUR</t>
  </si>
  <si>
    <t>GBA SUR</t>
  </si>
  <si>
    <t>GBA SUR II</t>
  </si>
  <si>
    <t>GBA OESTE</t>
  </si>
  <si>
    <t>GBA OESTE II</t>
  </si>
  <si>
    <t>GBA NORTE</t>
  </si>
  <si>
    <t>-</t>
  </si>
  <si>
    <t>WIAR</t>
  </si>
  <si>
    <t>AGRUPADOR 8</t>
  </si>
  <si>
    <t>CABA SUR II</t>
  </si>
  <si>
    <t>AGRUPADOR 5</t>
  </si>
  <si>
    <t>AGRUPADOR 3</t>
  </si>
  <si>
    <t>VILLA RIACHUELO</t>
  </si>
  <si>
    <t>VILLA MADERO</t>
  </si>
  <si>
    <t>HACHA DE PIEDRA TRANSPORTE</t>
  </si>
  <si>
    <t>AV CORONEL ROCA 3321</t>
  </si>
  <si>
    <t>AVELLANEDA 2</t>
  </si>
  <si>
    <t>LANDPACK</t>
  </si>
  <si>
    <t>TRANSMARTE</t>
  </si>
  <si>
    <t>SANTA MARTA - CH EXPRES</t>
  </si>
  <si>
    <t>MC CARGAS</t>
  </si>
  <si>
    <t>FAMATINA EXPRESO</t>
  </si>
  <si>
    <t>TRANSPORTE 7 DE AGOSTO</t>
  </si>
  <si>
    <t>BORGO DEPOSITO</t>
  </si>
  <si>
    <t>AV.LOS QUILMES 370 - ( CAPITAL FEDERAL )</t>
  </si>
  <si>
    <t>AV.LOS QUILMES 370</t>
  </si>
  <si>
    <t>CITE</t>
  </si>
  <si>
    <t>MONTESQUIU 464 - ( CAPITAL FEDERAL )</t>
  </si>
  <si>
    <t>MONTESQUIU 464</t>
  </si>
  <si>
    <t>JET PACK</t>
  </si>
  <si>
    <t>V.SARSFIELD/SUAREZ ESTAC.BS.AS. GALPON 2 FFCC.BEL - (  )</t>
  </si>
  <si>
    <t>V.SARSFIELD/SUAREZ ESTAC.BS.AS. GALPON 2 FFCC.BEL</t>
  </si>
  <si>
    <t>ROBRU</t>
  </si>
  <si>
    <t>OSVALDO CRUZ  2779 - (  )</t>
  </si>
  <si>
    <t>OSVALDO CRUZ  2779</t>
  </si>
  <si>
    <t>EXPRESO EL PEREGRINO</t>
  </si>
  <si>
    <t>TRANSPORTE ROLANDO</t>
  </si>
  <si>
    <t>TRANSPORTE KONIG</t>
  </si>
  <si>
    <t>VIA 2 EXPRESO</t>
  </si>
  <si>
    <t>INT FCO RABANAL 2756 (COMUNA 8) CABA</t>
  </si>
  <si>
    <t>INT FCO RABANAL 2756</t>
  </si>
  <si>
    <t>POLO 24 - PARQUE INDUSTRIAL, CUARTEL V</t>
  </si>
  <si>
    <t>SAN PEDRITO 3849</t>
  </si>
  <si>
    <t>PERGAMINO 3751-Nave C. Mod 66-67-68</t>
  </si>
  <si>
    <t>UNION SA</t>
  </si>
  <si>
    <t>RAYO LOGISTICA</t>
  </si>
  <si>
    <t>JULIO TROXLER 319</t>
  </si>
  <si>
    <t>SUR EXPRESO</t>
  </si>
  <si>
    <t>PORTELA 1871</t>
  </si>
  <si>
    <t>NUEVO EXPRESO RUTA 1</t>
  </si>
  <si>
    <t>DEPOSITO LA SALLE -caba</t>
  </si>
  <si>
    <t>SAN JUAN BAUTISTA DE LA SALLE 1926</t>
  </si>
  <si>
    <t>SAN JUAN BAUTISTA  DE LA SALLE 1926</t>
  </si>
  <si>
    <t>SAN RAMON</t>
  </si>
  <si>
    <t>PINEDO 1050 ESTACION SOLA GALPON 5 PTA 28</t>
  </si>
  <si>
    <t>RODRIGUEZ HERMANOS</t>
  </si>
  <si>
    <t>EREZCANO 3880</t>
  </si>
  <si>
    <t>ERZCANO 3880</t>
  </si>
  <si>
    <t>MAGALLANES 1168</t>
  </si>
  <si>
    <t>JUMP TRANSPORTE (EX THUNDER)</t>
  </si>
  <si>
    <t>AV LACARRA 1945</t>
  </si>
  <si>
    <t>JUMPO TRANSPORTE (EX THUNDER)</t>
  </si>
  <si>
    <t>ENRIQUE OCHOA 228</t>
  </si>
  <si>
    <t>COORPAT</t>
  </si>
  <si>
    <t>SAN PEDRITO 2770</t>
  </si>
  <si>
    <t>EL CHANGUITO</t>
  </si>
  <si>
    <t>BONAVENA 1251</t>
  </si>
  <si>
    <t>TRANSCONT - VESPRINI  Villa Luro</t>
  </si>
  <si>
    <t>JUAN B JUSTO 7594</t>
  </si>
  <si>
    <t>NUEVO EXPRESO</t>
  </si>
  <si>
    <t>JULIO TROXLER 3160</t>
  </si>
  <si>
    <t>DE FELICE</t>
  </si>
  <si>
    <t>PERGAMINO 3751 NACE 2 MODULO 57</t>
  </si>
  <si>
    <t>PERGAMINO 3751 NAVE C MODULO 57</t>
  </si>
  <si>
    <t>HUERQUE PUELCHE</t>
  </si>
  <si>
    <t>MENDEZ 2596</t>
  </si>
  <si>
    <t>ENRIQUE OHOA 220</t>
  </si>
  <si>
    <t>ENRIQUE OCHOA 220</t>
  </si>
  <si>
    <t>VILLA CRESPO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</si>
</sst>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8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CA0298CD-986A-4689-BF32-23B2CA5B22D7}"/>
  </cellStyles>
  <dxfs count="0"/>
  <tableStyles count="1" defaultTableStyle="TableStyleMedium2" defaultPivotStyle="PivotStyleLight16">
    <tableStyle name="Invisible" pivot="0" table="0" count="0" xr9:uid="{CE4A7245-831E-435E-91F3-192F6F17F1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132D-4FD6-4437-8BB5-7AA008BB3ACD}">
  <dimension ref="A1:M772"/>
  <sheetViews>
    <sheetView tabSelected="1" topLeftCell="A738" workbookViewId="0">
      <selection activeCell="A763" sqref="A763"/>
    </sheetView>
  </sheetViews>
  <sheetFormatPr baseColWidth="10" defaultRowHeight="11.25" x14ac:dyDescent="0.2"/>
  <cols>
    <col min="1" max="1" width="10" bestFit="1" customWidth="1"/>
    <col min="2" max="2" width="49" bestFit="1" customWidth="1"/>
    <col min="3" max="3" width="8.5" bestFit="1" customWidth="1"/>
    <col min="4" max="4" width="75.33203125" bestFit="1" customWidth="1"/>
    <col min="5" max="5" width="9" bestFit="1" customWidth="1"/>
    <col min="6" max="6" width="51.5" bestFit="1" customWidth="1"/>
    <col min="7" max="7" width="30.5" bestFit="1" customWidth="1"/>
    <col min="8" max="9" width="30.5" customWidth="1"/>
    <col min="10" max="10" width="10.1640625" bestFit="1" customWidth="1"/>
    <col min="11" max="11" width="46.1640625" bestFit="1" customWidth="1"/>
    <col min="12" max="12" width="107.1640625" bestFit="1" customWidth="1"/>
    <col min="13" max="13" width="7.33203125" bestFit="1" customWidth="1"/>
  </cols>
  <sheetData>
    <row r="1" spans="1:13" x14ac:dyDescent="0.2">
      <c r="A1" t="s">
        <v>0</v>
      </c>
      <c r="B1" t="s">
        <v>2676</v>
      </c>
      <c r="C1" t="s">
        <v>1</v>
      </c>
      <c r="D1" t="s">
        <v>2</v>
      </c>
      <c r="E1" t="s">
        <v>3</v>
      </c>
      <c r="F1" t="s">
        <v>2681</v>
      </c>
      <c r="G1" t="s">
        <v>2680</v>
      </c>
      <c r="H1" t="str">
        <f>+VLOOKUP(G1,Agrupacion!A:B,2,0)</f>
        <v>Agrupador</v>
      </c>
      <c r="I1" t="s">
        <v>2702</v>
      </c>
      <c r="J1" t="s">
        <v>4</v>
      </c>
      <c r="K1" t="s">
        <v>5</v>
      </c>
      <c r="L1" t="s">
        <v>6</v>
      </c>
      <c r="M1" t="s">
        <v>7</v>
      </c>
    </row>
    <row r="2" spans="1:13" x14ac:dyDescent="0.2">
      <c r="A2">
        <v>1</v>
      </c>
      <c r="B2" t="s">
        <v>2025</v>
      </c>
      <c r="C2">
        <v>1</v>
      </c>
      <c r="D2" t="s">
        <v>9</v>
      </c>
      <c r="E2" t="s">
        <v>10</v>
      </c>
      <c r="F2" t="s">
        <v>11</v>
      </c>
      <c r="G2" t="s">
        <v>1192</v>
      </c>
      <c r="H2" t="str">
        <f>_xlfn.IFNA(+VLOOKUP(G2,Agrupacion!A:B,2,0),"")</f>
        <v>AGRUPADOR 3</v>
      </c>
      <c r="I2" t="str">
        <f>_xlfn.IFNA(+VLOOKUP(G2,Agrupacion!A:C,3,0),"")</f>
        <v>CABA SUR II</v>
      </c>
      <c r="J2" t="s">
        <v>12</v>
      </c>
      <c r="M2" t="s">
        <v>8</v>
      </c>
    </row>
    <row r="3" spans="1:13" x14ac:dyDescent="0.2">
      <c r="A3">
        <v>2</v>
      </c>
      <c r="B3" t="s">
        <v>2547</v>
      </c>
      <c r="C3">
        <v>1</v>
      </c>
      <c r="D3" t="s">
        <v>329</v>
      </c>
      <c r="E3" t="s">
        <v>10</v>
      </c>
      <c r="F3" t="s">
        <v>330</v>
      </c>
      <c r="G3" t="s">
        <v>170</v>
      </c>
      <c r="H3" t="str">
        <f>_xlfn.IFNA(+VLOOKUP(G3,Agrupacion!A:B,2,0),"")</f>
        <v>AGRUPADOR 2</v>
      </c>
      <c r="I3" t="str">
        <f>_xlfn.IFNA(+VLOOKUP(G3,Agrupacion!A:C,3,0),"")</f>
        <v>CABA SUR</v>
      </c>
      <c r="J3" t="s">
        <v>331</v>
      </c>
      <c r="K3" t="s">
        <v>332</v>
      </c>
      <c r="M3" t="s">
        <v>8</v>
      </c>
    </row>
    <row r="4" spans="1:13" x14ac:dyDescent="0.2">
      <c r="A4">
        <v>3</v>
      </c>
      <c r="B4" t="s">
        <v>2548</v>
      </c>
      <c r="C4">
        <v>1</v>
      </c>
      <c r="D4" t="s">
        <v>616</v>
      </c>
      <c r="E4" t="s">
        <v>10</v>
      </c>
      <c r="F4" t="s">
        <v>617</v>
      </c>
      <c r="G4" t="s">
        <v>396</v>
      </c>
      <c r="H4" t="str">
        <f>_xlfn.IFNA(+VLOOKUP(G4,Agrupacion!A:B,2,0),"")</f>
        <v>AGRUPADOR 3</v>
      </c>
      <c r="I4" t="str">
        <f>_xlfn.IFNA(+VLOOKUP(G4,Agrupacion!A:C,3,0),"")</f>
        <v>CABA SUR II</v>
      </c>
      <c r="M4" t="s">
        <v>8</v>
      </c>
    </row>
    <row r="5" spans="1:13" x14ac:dyDescent="0.2">
      <c r="A5">
        <v>4</v>
      </c>
      <c r="B5" t="s">
        <v>2549</v>
      </c>
      <c r="C5">
        <v>1</v>
      </c>
      <c r="D5" t="s">
        <v>916</v>
      </c>
      <c r="E5" t="s">
        <v>10</v>
      </c>
      <c r="F5" t="s">
        <v>917</v>
      </c>
      <c r="G5" t="s">
        <v>396</v>
      </c>
      <c r="H5" t="str">
        <f>_xlfn.IFNA(+VLOOKUP(G5,Agrupacion!A:B,2,0),"")</f>
        <v>AGRUPADOR 3</v>
      </c>
      <c r="I5" t="str">
        <f>_xlfn.IFNA(+VLOOKUP(G5,Agrupacion!A:C,3,0),"")</f>
        <v>CABA SUR II</v>
      </c>
      <c r="J5" t="s">
        <v>15</v>
      </c>
      <c r="K5" t="s">
        <v>918</v>
      </c>
      <c r="M5" t="s">
        <v>8</v>
      </c>
    </row>
    <row r="6" spans="1:13" x14ac:dyDescent="0.2">
      <c r="A6">
        <v>5</v>
      </c>
      <c r="B6" t="s">
        <v>2550</v>
      </c>
      <c r="C6">
        <v>1</v>
      </c>
      <c r="D6" t="s">
        <v>1203</v>
      </c>
      <c r="E6" t="s">
        <v>10</v>
      </c>
      <c r="F6" t="s">
        <v>127</v>
      </c>
      <c r="G6" t="s">
        <v>396</v>
      </c>
      <c r="H6" t="str">
        <f>_xlfn.IFNA(+VLOOKUP(G6,Agrupacion!A:B,2,0),"")</f>
        <v>AGRUPADOR 3</v>
      </c>
      <c r="I6" t="str">
        <f>_xlfn.IFNA(+VLOOKUP(G6,Agrupacion!A:C,3,0),"")</f>
        <v>CABA SUR II</v>
      </c>
      <c r="K6" t="s">
        <v>1204</v>
      </c>
      <c r="M6" t="s">
        <v>8</v>
      </c>
    </row>
    <row r="7" spans="1:13" x14ac:dyDescent="0.2">
      <c r="A7">
        <v>6</v>
      </c>
      <c r="B7" t="s">
        <v>2551</v>
      </c>
      <c r="C7">
        <v>1</v>
      </c>
      <c r="D7" t="s">
        <v>1487</v>
      </c>
      <c r="E7" t="s">
        <v>10</v>
      </c>
      <c r="F7" t="s">
        <v>1488</v>
      </c>
      <c r="G7" t="s">
        <v>396</v>
      </c>
      <c r="H7" t="str">
        <f>_xlfn.IFNA(+VLOOKUP(G7,Agrupacion!A:B,2,0),"")</f>
        <v>AGRUPADOR 3</v>
      </c>
      <c r="I7" t="str">
        <f>_xlfn.IFNA(+VLOOKUP(G7,Agrupacion!A:C,3,0),"")</f>
        <v>CABA SUR II</v>
      </c>
      <c r="J7" t="s">
        <v>15</v>
      </c>
      <c r="K7" t="s">
        <v>1489</v>
      </c>
      <c r="M7" t="s">
        <v>8</v>
      </c>
    </row>
    <row r="8" spans="1:13" x14ac:dyDescent="0.2">
      <c r="A8">
        <v>7</v>
      </c>
      <c r="B8" t="s">
        <v>2552</v>
      </c>
      <c r="C8">
        <v>1</v>
      </c>
      <c r="D8" t="s">
        <v>1750</v>
      </c>
      <c r="E8" t="s">
        <v>10</v>
      </c>
      <c r="F8" t="s">
        <v>1751</v>
      </c>
      <c r="G8" t="s">
        <v>396</v>
      </c>
      <c r="H8" t="str">
        <f>_xlfn.IFNA(+VLOOKUP(G8,Agrupacion!A:B,2,0),"")</f>
        <v>AGRUPADOR 3</v>
      </c>
      <c r="I8" t="str">
        <f>_xlfn.IFNA(+VLOOKUP(G8,Agrupacion!A:C,3,0),"")</f>
        <v>CABA SUR II</v>
      </c>
      <c r="J8" t="s">
        <v>15</v>
      </c>
      <c r="K8" t="s">
        <v>1752</v>
      </c>
      <c r="M8" t="s">
        <v>8</v>
      </c>
    </row>
    <row r="9" spans="1:13" x14ac:dyDescent="0.2">
      <c r="A9">
        <v>8</v>
      </c>
      <c r="B9" t="s">
        <v>2553</v>
      </c>
      <c r="C9">
        <v>1</v>
      </c>
      <c r="D9" t="s">
        <v>1896</v>
      </c>
      <c r="E9" t="s">
        <v>10</v>
      </c>
      <c r="F9" t="s">
        <v>1897</v>
      </c>
      <c r="G9" t="s">
        <v>249</v>
      </c>
      <c r="H9" t="str">
        <f>_xlfn.IFNA(+VLOOKUP(G9,Agrupacion!A:B,2,0),"")</f>
        <v>AGRUPADOR 2</v>
      </c>
      <c r="I9" t="str">
        <f>_xlfn.IFNA(+VLOOKUP(G9,Agrupacion!A:C,3,0),"")</f>
        <v>CABA SUR</v>
      </c>
      <c r="J9" t="s">
        <v>15</v>
      </c>
      <c r="K9" t="s">
        <v>1898</v>
      </c>
      <c r="M9" t="s">
        <v>8</v>
      </c>
    </row>
    <row r="10" spans="1:13" x14ac:dyDescent="0.2">
      <c r="A10">
        <v>9</v>
      </c>
      <c r="B10" t="s">
        <v>2554</v>
      </c>
      <c r="C10">
        <v>1</v>
      </c>
      <c r="D10" t="s">
        <v>1924</v>
      </c>
      <c r="E10" t="s">
        <v>10</v>
      </c>
      <c r="F10" t="s">
        <v>1925</v>
      </c>
      <c r="G10" t="s">
        <v>396</v>
      </c>
      <c r="H10" t="str">
        <f>_xlfn.IFNA(+VLOOKUP(G10,Agrupacion!A:B,2,0),"")</f>
        <v>AGRUPADOR 3</v>
      </c>
      <c r="I10" t="str">
        <f>_xlfn.IFNA(+VLOOKUP(G10,Agrupacion!A:C,3,0),"")</f>
        <v>CABA SUR II</v>
      </c>
      <c r="J10" t="s">
        <v>15</v>
      </c>
      <c r="K10" t="s">
        <v>1926</v>
      </c>
      <c r="M10" t="s">
        <v>8</v>
      </c>
    </row>
    <row r="11" spans="1:13" x14ac:dyDescent="0.2">
      <c r="A11">
        <v>10</v>
      </c>
      <c r="B11" t="s">
        <v>2555</v>
      </c>
      <c r="C11">
        <v>1</v>
      </c>
      <c r="D11" t="s">
        <v>13</v>
      </c>
      <c r="E11" t="s">
        <v>10</v>
      </c>
      <c r="F11" t="s">
        <v>14</v>
      </c>
      <c r="G11" t="s">
        <v>396</v>
      </c>
      <c r="H11" t="str">
        <f>_xlfn.IFNA(+VLOOKUP(G11,Agrupacion!A:B,2,0),"")</f>
        <v>AGRUPADOR 3</v>
      </c>
      <c r="I11" t="str">
        <f>_xlfn.IFNA(+VLOOKUP(G11,Agrupacion!A:C,3,0),"")</f>
        <v>CABA SUR II</v>
      </c>
      <c r="J11" t="s">
        <v>15</v>
      </c>
      <c r="K11" t="s">
        <v>16</v>
      </c>
      <c r="M11" t="s">
        <v>8</v>
      </c>
    </row>
    <row r="12" spans="1:13" x14ac:dyDescent="0.2">
      <c r="A12">
        <v>11</v>
      </c>
      <c r="B12" t="s">
        <v>2556</v>
      </c>
      <c r="C12">
        <v>1</v>
      </c>
      <c r="D12" t="s">
        <v>51</v>
      </c>
      <c r="E12" t="s">
        <v>10</v>
      </c>
      <c r="F12" t="s">
        <v>52</v>
      </c>
      <c r="G12" t="s">
        <v>396</v>
      </c>
      <c r="H12" t="str">
        <f>_xlfn.IFNA(+VLOOKUP(G12,Agrupacion!A:B,2,0),"")</f>
        <v>AGRUPADOR 3</v>
      </c>
      <c r="I12" t="str">
        <f>_xlfn.IFNA(+VLOOKUP(G12,Agrupacion!A:C,3,0),"")</f>
        <v>CABA SUR II</v>
      </c>
      <c r="J12" t="s">
        <v>15</v>
      </c>
      <c r="K12" t="s">
        <v>53</v>
      </c>
      <c r="M12" t="s">
        <v>8</v>
      </c>
    </row>
    <row r="13" spans="1:13" x14ac:dyDescent="0.2">
      <c r="A13">
        <v>12</v>
      </c>
      <c r="B13" t="s">
        <v>2557</v>
      </c>
      <c r="C13">
        <v>1</v>
      </c>
      <c r="D13" t="s">
        <v>80</v>
      </c>
      <c r="E13" t="s">
        <v>10</v>
      </c>
      <c r="F13" t="s">
        <v>81</v>
      </c>
      <c r="G13" t="s">
        <v>396</v>
      </c>
      <c r="H13" t="str">
        <f>_xlfn.IFNA(+VLOOKUP(G13,Agrupacion!A:B,2,0),"")</f>
        <v>AGRUPADOR 3</v>
      </c>
      <c r="I13" t="str">
        <f>_xlfn.IFNA(+VLOOKUP(G13,Agrupacion!A:C,3,0),"")</f>
        <v>CABA SUR II</v>
      </c>
      <c r="J13" t="s">
        <v>15</v>
      </c>
      <c r="K13" t="s">
        <v>82</v>
      </c>
      <c r="M13" t="s">
        <v>8</v>
      </c>
    </row>
    <row r="14" spans="1:13" x14ac:dyDescent="0.2">
      <c r="A14">
        <v>13</v>
      </c>
      <c r="B14" t="s">
        <v>2558</v>
      </c>
      <c r="C14">
        <v>1</v>
      </c>
      <c r="D14" t="s">
        <v>113</v>
      </c>
      <c r="F14" t="s">
        <v>114</v>
      </c>
      <c r="G14" t="s">
        <v>249</v>
      </c>
      <c r="H14" t="str">
        <f>_xlfn.IFNA(+VLOOKUP(G14,Agrupacion!A:B,2,0),"")</f>
        <v>AGRUPADOR 2</v>
      </c>
      <c r="I14" t="str">
        <f>_xlfn.IFNA(+VLOOKUP(G14,Agrupacion!A:C,3,0),"")</f>
        <v>CABA SUR</v>
      </c>
      <c r="J14" t="s">
        <v>115</v>
      </c>
      <c r="M14" t="s">
        <v>8</v>
      </c>
    </row>
    <row r="15" spans="1:13" x14ac:dyDescent="0.2">
      <c r="A15">
        <v>14</v>
      </c>
      <c r="B15" t="s">
        <v>2559</v>
      </c>
      <c r="C15">
        <v>1</v>
      </c>
      <c r="D15" t="s">
        <v>145</v>
      </c>
      <c r="E15" t="s">
        <v>96</v>
      </c>
      <c r="F15" t="s">
        <v>146</v>
      </c>
      <c r="G15" t="s">
        <v>2678</v>
      </c>
      <c r="H15" t="str">
        <f>_xlfn.IFNA(+VLOOKUP(G15,Agrupacion!A:B,2,0),"")</f>
        <v>AGRUPADOR 3</v>
      </c>
      <c r="I15" t="str">
        <f>_xlfn.IFNA(+VLOOKUP(G15,Agrupacion!A:C,3,0),"")</f>
        <v>CABA SUR II</v>
      </c>
      <c r="J15" t="s">
        <v>147</v>
      </c>
      <c r="K15" t="s">
        <v>148</v>
      </c>
      <c r="L15" t="s">
        <v>149</v>
      </c>
      <c r="M15" t="s">
        <v>8</v>
      </c>
    </row>
    <row r="16" spans="1:13" x14ac:dyDescent="0.2">
      <c r="A16">
        <v>15</v>
      </c>
      <c r="B16" t="s">
        <v>2560</v>
      </c>
      <c r="C16">
        <v>1</v>
      </c>
      <c r="D16" t="s">
        <v>184</v>
      </c>
      <c r="E16" t="s">
        <v>10</v>
      </c>
      <c r="F16" t="s">
        <v>185</v>
      </c>
      <c r="G16" t="s">
        <v>842</v>
      </c>
      <c r="H16" t="str">
        <f>_xlfn.IFNA(+VLOOKUP(G16,Agrupacion!A:B,2,0),"")</f>
        <v>AGRUPADOR 1</v>
      </c>
      <c r="I16" t="str">
        <f>_xlfn.IFNA(+VLOOKUP(G16,Agrupacion!A:C,3,0),"")</f>
        <v>CABA NORTE</v>
      </c>
      <c r="J16" t="s">
        <v>186</v>
      </c>
      <c r="M16" t="s">
        <v>8</v>
      </c>
    </row>
    <row r="17" spans="1:13" x14ac:dyDescent="0.2">
      <c r="A17">
        <v>16</v>
      </c>
      <c r="B17" t="s">
        <v>2561</v>
      </c>
      <c r="C17">
        <v>1</v>
      </c>
      <c r="D17" t="s">
        <v>214</v>
      </c>
      <c r="E17" t="s">
        <v>10</v>
      </c>
      <c r="F17" t="s">
        <v>214</v>
      </c>
      <c r="G17" t="s">
        <v>396</v>
      </c>
      <c r="H17" t="str">
        <f>_xlfn.IFNA(+VLOOKUP(G17,Agrupacion!A:B,2,0),"")</f>
        <v>AGRUPADOR 3</v>
      </c>
      <c r="I17" t="str">
        <f>_xlfn.IFNA(+VLOOKUP(G17,Agrupacion!A:C,3,0),"")</f>
        <v>CABA SUR II</v>
      </c>
      <c r="J17" t="s">
        <v>15</v>
      </c>
      <c r="K17" t="s">
        <v>215</v>
      </c>
      <c r="L17" t="s">
        <v>216</v>
      </c>
      <c r="M17" t="s">
        <v>8</v>
      </c>
    </row>
    <row r="18" spans="1:13" x14ac:dyDescent="0.2">
      <c r="A18">
        <v>17</v>
      </c>
      <c r="B18" t="s">
        <v>2562</v>
      </c>
      <c r="C18">
        <v>1</v>
      </c>
      <c r="D18" t="s">
        <v>245</v>
      </c>
      <c r="E18" t="s">
        <v>10</v>
      </c>
      <c r="F18" t="s">
        <v>246</v>
      </c>
      <c r="G18" t="s">
        <v>170</v>
      </c>
      <c r="H18" t="str">
        <f>_xlfn.IFNA(+VLOOKUP(G18,Agrupacion!A:B,2,0),"")</f>
        <v>AGRUPADOR 2</v>
      </c>
      <c r="I18" t="str">
        <f>_xlfn.IFNA(+VLOOKUP(G18,Agrupacion!A:C,3,0),"")</f>
        <v>CABA SUR</v>
      </c>
      <c r="J18" t="s">
        <v>15</v>
      </c>
      <c r="K18" t="s">
        <v>247</v>
      </c>
      <c r="M18" t="s">
        <v>8</v>
      </c>
    </row>
    <row r="19" spans="1:13" x14ac:dyDescent="0.2">
      <c r="A19">
        <v>18</v>
      </c>
      <c r="B19" t="s">
        <v>2563</v>
      </c>
      <c r="C19">
        <v>1</v>
      </c>
      <c r="D19" t="s">
        <v>273</v>
      </c>
      <c r="E19" t="s">
        <v>10</v>
      </c>
      <c r="F19" t="s">
        <v>274</v>
      </c>
      <c r="G19" t="s">
        <v>170</v>
      </c>
      <c r="H19" t="str">
        <f>_xlfn.IFNA(+VLOOKUP(G19,Agrupacion!A:B,2,0),"")</f>
        <v>AGRUPADOR 2</v>
      </c>
      <c r="I19" t="str">
        <f>_xlfn.IFNA(+VLOOKUP(G19,Agrupacion!A:C,3,0),"")</f>
        <v>CABA SUR</v>
      </c>
      <c r="J19" t="s">
        <v>115</v>
      </c>
      <c r="K19" t="s">
        <v>275</v>
      </c>
      <c r="M19" t="s">
        <v>8</v>
      </c>
    </row>
    <row r="20" spans="1:13" x14ac:dyDescent="0.2">
      <c r="A20">
        <v>19</v>
      </c>
      <c r="B20" t="s">
        <v>2564</v>
      </c>
      <c r="C20">
        <v>1</v>
      </c>
      <c r="D20" t="s">
        <v>300</v>
      </c>
      <c r="E20" t="s">
        <v>10</v>
      </c>
      <c r="F20" t="s">
        <v>301</v>
      </c>
      <c r="G20" t="s">
        <v>396</v>
      </c>
      <c r="H20" t="str">
        <f>_xlfn.IFNA(+VLOOKUP(G20,Agrupacion!A:B,2,0),"")</f>
        <v>AGRUPADOR 3</v>
      </c>
      <c r="I20" t="str">
        <f>_xlfn.IFNA(+VLOOKUP(G20,Agrupacion!A:C,3,0),"")</f>
        <v>CABA SUR II</v>
      </c>
      <c r="J20" t="s">
        <v>15</v>
      </c>
      <c r="K20" t="s">
        <v>302</v>
      </c>
      <c r="L20" t="s">
        <v>303</v>
      </c>
      <c r="M20" t="s">
        <v>8</v>
      </c>
    </row>
    <row r="21" spans="1:13" x14ac:dyDescent="0.2">
      <c r="A21">
        <v>20</v>
      </c>
      <c r="B21" t="s">
        <v>2565</v>
      </c>
      <c r="C21">
        <v>1</v>
      </c>
      <c r="D21" t="s">
        <v>333</v>
      </c>
      <c r="E21" t="s">
        <v>10</v>
      </c>
      <c r="F21" t="s">
        <v>334</v>
      </c>
      <c r="G21" t="s">
        <v>2697</v>
      </c>
      <c r="H21" t="str">
        <f>_xlfn.IFNA(+VLOOKUP(G21,Agrupacion!A:B,2,0),"")</f>
        <v>AGRUPADOR 3</v>
      </c>
      <c r="I21" t="str">
        <f>_xlfn.IFNA(+VLOOKUP(G21,Agrupacion!A:C,3,0),"")</f>
        <v>CABA SUR II</v>
      </c>
      <c r="J21" t="s">
        <v>195</v>
      </c>
      <c r="K21" t="s">
        <v>335</v>
      </c>
      <c r="M21" t="s">
        <v>8</v>
      </c>
    </row>
    <row r="22" spans="1:13" x14ac:dyDescent="0.2">
      <c r="A22">
        <v>21</v>
      </c>
      <c r="B22" t="s">
        <v>2566</v>
      </c>
      <c r="C22">
        <v>1</v>
      </c>
      <c r="D22" t="s">
        <v>362</v>
      </c>
      <c r="F22" t="s">
        <v>363</v>
      </c>
      <c r="G22" t="s">
        <v>249</v>
      </c>
      <c r="H22" t="str">
        <f>_xlfn.IFNA(+VLOOKUP(G22,Agrupacion!A:B,2,0),"")</f>
        <v>AGRUPADOR 2</v>
      </c>
      <c r="I22" t="str">
        <f>_xlfn.IFNA(+VLOOKUP(G22,Agrupacion!A:C,3,0),"")</f>
        <v>CABA SUR</v>
      </c>
      <c r="J22" t="s">
        <v>15</v>
      </c>
      <c r="M22" t="s">
        <v>8</v>
      </c>
    </row>
    <row r="23" spans="1:13" x14ac:dyDescent="0.2">
      <c r="A23">
        <v>22</v>
      </c>
      <c r="B23" t="s">
        <v>2567</v>
      </c>
      <c r="C23">
        <v>1</v>
      </c>
      <c r="D23" t="s">
        <v>392</v>
      </c>
      <c r="F23" t="s">
        <v>393</v>
      </c>
      <c r="G23" t="s">
        <v>396</v>
      </c>
      <c r="H23" t="str">
        <f>_xlfn.IFNA(+VLOOKUP(G23,Agrupacion!A:B,2,0),"")</f>
        <v>AGRUPADOR 3</v>
      </c>
      <c r="I23" t="str">
        <f>_xlfn.IFNA(+VLOOKUP(G23,Agrupacion!A:C,3,0),"")</f>
        <v>CABA SUR II</v>
      </c>
      <c r="J23" t="s">
        <v>15</v>
      </c>
      <c r="M23" t="s">
        <v>8</v>
      </c>
    </row>
    <row r="24" spans="1:13" x14ac:dyDescent="0.2">
      <c r="A24">
        <v>23</v>
      </c>
      <c r="B24" t="s">
        <v>2568</v>
      </c>
      <c r="C24">
        <v>1</v>
      </c>
      <c r="D24" t="s">
        <v>421</v>
      </c>
      <c r="E24" t="s">
        <v>10</v>
      </c>
      <c r="F24" t="s">
        <v>422</v>
      </c>
      <c r="G24" t="s">
        <v>396</v>
      </c>
      <c r="H24" t="str">
        <f>_xlfn.IFNA(+VLOOKUP(G24,Agrupacion!A:B,2,0),"")</f>
        <v>AGRUPADOR 3</v>
      </c>
      <c r="I24" t="str">
        <f>_xlfn.IFNA(+VLOOKUP(G24,Agrupacion!A:C,3,0),"")</f>
        <v>CABA SUR II</v>
      </c>
      <c r="J24" t="s">
        <v>15</v>
      </c>
      <c r="K24" t="s">
        <v>423</v>
      </c>
      <c r="M24" t="s">
        <v>8</v>
      </c>
    </row>
    <row r="25" spans="1:13" x14ac:dyDescent="0.2">
      <c r="A25">
        <v>24</v>
      </c>
      <c r="B25" t="s">
        <v>2569</v>
      </c>
      <c r="C25">
        <v>1</v>
      </c>
      <c r="D25" t="s">
        <v>445</v>
      </c>
      <c r="E25" t="s">
        <v>10</v>
      </c>
      <c r="F25" t="s">
        <v>446</v>
      </c>
      <c r="G25" t="s">
        <v>170</v>
      </c>
      <c r="H25" t="str">
        <f>_xlfn.IFNA(+VLOOKUP(G25,Agrupacion!A:B,2,0),"")</f>
        <v>AGRUPADOR 2</v>
      </c>
      <c r="I25" t="str">
        <f>_xlfn.IFNA(+VLOOKUP(G25,Agrupacion!A:C,3,0),"")</f>
        <v>CABA SUR</v>
      </c>
      <c r="J25" t="s">
        <v>447</v>
      </c>
      <c r="K25" t="s">
        <v>448</v>
      </c>
      <c r="M25" t="s">
        <v>8</v>
      </c>
    </row>
    <row r="26" spans="1:13" x14ac:dyDescent="0.2">
      <c r="A26">
        <v>26</v>
      </c>
      <c r="B26" t="s">
        <v>2570</v>
      </c>
      <c r="C26">
        <v>1</v>
      </c>
      <c r="D26" t="s">
        <v>508</v>
      </c>
      <c r="E26" t="s">
        <v>10</v>
      </c>
      <c r="F26" t="s">
        <v>509</v>
      </c>
      <c r="G26" t="s">
        <v>249</v>
      </c>
      <c r="H26" t="str">
        <f>_xlfn.IFNA(+VLOOKUP(G26,Agrupacion!A:B,2,0),"")</f>
        <v>AGRUPADOR 2</v>
      </c>
      <c r="I26" t="str">
        <f>_xlfn.IFNA(+VLOOKUP(G26,Agrupacion!A:C,3,0),"")</f>
        <v>CABA SUR</v>
      </c>
      <c r="J26" t="s">
        <v>15</v>
      </c>
      <c r="K26" t="s">
        <v>510</v>
      </c>
      <c r="M26" t="s">
        <v>8</v>
      </c>
    </row>
    <row r="27" spans="1:13" x14ac:dyDescent="0.2">
      <c r="A27">
        <v>27</v>
      </c>
      <c r="B27" t="s">
        <v>2382</v>
      </c>
      <c r="C27">
        <v>1</v>
      </c>
      <c r="D27" t="s">
        <v>539</v>
      </c>
      <c r="E27" t="s">
        <v>10</v>
      </c>
      <c r="F27" t="s">
        <v>328</v>
      </c>
      <c r="G27" t="s">
        <v>396</v>
      </c>
      <c r="H27" t="str">
        <f>_xlfn.IFNA(+VLOOKUP(G27,Agrupacion!A:B,2,0),"")</f>
        <v>AGRUPADOR 3</v>
      </c>
      <c r="I27" t="str">
        <f>_xlfn.IFNA(+VLOOKUP(G27,Agrupacion!A:C,3,0),"")</f>
        <v>CABA SUR II</v>
      </c>
      <c r="J27" t="s">
        <v>15</v>
      </c>
      <c r="K27" t="s">
        <v>540</v>
      </c>
      <c r="M27" t="s">
        <v>8</v>
      </c>
    </row>
    <row r="28" spans="1:13" x14ac:dyDescent="0.2">
      <c r="A28">
        <v>28</v>
      </c>
      <c r="B28" t="s">
        <v>2571</v>
      </c>
      <c r="C28">
        <v>1</v>
      </c>
      <c r="D28" t="s">
        <v>568</v>
      </c>
      <c r="E28" t="s">
        <v>10</v>
      </c>
      <c r="F28" t="s">
        <v>569</v>
      </c>
      <c r="G28" t="s">
        <v>249</v>
      </c>
      <c r="H28" t="str">
        <f>_xlfn.IFNA(+VLOOKUP(G28,Agrupacion!A:B,2,0),"")</f>
        <v>AGRUPADOR 2</v>
      </c>
      <c r="I28" t="str">
        <f>_xlfn.IFNA(+VLOOKUP(G28,Agrupacion!A:C,3,0),"")</f>
        <v>CABA SUR</v>
      </c>
      <c r="J28" t="s">
        <v>15</v>
      </c>
      <c r="M28" t="s">
        <v>8</v>
      </c>
    </row>
    <row r="29" spans="1:13" x14ac:dyDescent="0.2">
      <c r="A29">
        <v>29</v>
      </c>
      <c r="B29" t="s">
        <v>2572</v>
      </c>
      <c r="C29">
        <v>1</v>
      </c>
      <c r="D29" t="s">
        <v>455</v>
      </c>
      <c r="E29" t="s">
        <v>10</v>
      </c>
      <c r="F29" t="s">
        <v>456</v>
      </c>
      <c r="G29" t="s">
        <v>2698</v>
      </c>
      <c r="H29" t="str">
        <f>_xlfn.IFNA(+VLOOKUP(G29,Agrupacion!A:B,2,0),"")</f>
        <v>AGRUPADOR 1</v>
      </c>
      <c r="I29" t="str">
        <f>_xlfn.IFNA(+VLOOKUP(G29,Agrupacion!A:C,3,0),"")</f>
        <v>CABA NORTE</v>
      </c>
      <c r="J29" t="s">
        <v>587</v>
      </c>
      <c r="K29" t="s">
        <v>588</v>
      </c>
      <c r="M29" t="s">
        <v>8</v>
      </c>
    </row>
    <row r="30" spans="1:13" x14ac:dyDescent="0.2">
      <c r="A30">
        <v>30</v>
      </c>
      <c r="B30" t="s">
        <v>2573</v>
      </c>
      <c r="C30">
        <v>1</v>
      </c>
      <c r="D30" t="s">
        <v>618</v>
      </c>
      <c r="E30" t="s">
        <v>10</v>
      </c>
      <c r="F30" t="s">
        <v>619</v>
      </c>
      <c r="G30" t="s">
        <v>396</v>
      </c>
      <c r="H30" t="str">
        <f>_xlfn.IFNA(+VLOOKUP(G30,Agrupacion!A:B,2,0),"")</f>
        <v>AGRUPADOR 3</v>
      </c>
      <c r="I30" t="str">
        <f>_xlfn.IFNA(+VLOOKUP(G30,Agrupacion!A:C,3,0),"")</f>
        <v>CABA SUR II</v>
      </c>
      <c r="J30" t="s">
        <v>15</v>
      </c>
      <c r="K30" t="s">
        <v>620</v>
      </c>
      <c r="M30" t="s">
        <v>8</v>
      </c>
    </row>
    <row r="31" spans="1:13" x14ac:dyDescent="0.2">
      <c r="A31">
        <v>31</v>
      </c>
      <c r="B31" t="s">
        <v>2574</v>
      </c>
      <c r="C31">
        <v>1</v>
      </c>
      <c r="D31" t="s">
        <v>647</v>
      </c>
      <c r="E31" t="s">
        <v>10</v>
      </c>
      <c r="F31" t="s">
        <v>648</v>
      </c>
      <c r="G31" t="s">
        <v>249</v>
      </c>
      <c r="H31" t="str">
        <f>_xlfn.IFNA(+VLOOKUP(G31,Agrupacion!A:B,2,0),"")</f>
        <v>AGRUPADOR 2</v>
      </c>
      <c r="I31" t="str">
        <f>_xlfn.IFNA(+VLOOKUP(G31,Agrupacion!A:C,3,0),"")</f>
        <v>CABA SUR</v>
      </c>
      <c r="J31" t="s">
        <v>15</v>
      </c>
      <c r="K31" t="s">
        <v>649</v>
      </c>
      <c r="M31" t="s">
        <v>8</v>
      </c>
    </row>
    <row r="32" spans="1:13" x14ac:dyDescent="0.2">
      <c r="A32">
        <v>32</v>
      </c>
      <c r="B32" t="s">
        <v>2575</v>
      </c>
      <c r="C32">
        <v>1</v>
      </c>
      <c r="D32" t="s">
        <v>676</v>
      </c>
      <c r="E32" t="s">
        <v>10</v>
      </c>
      <c r="F32" t="s">
        <v>677</v>
      </c>
      <c r="G32" t="s">
        <v>48</v>
      </c>
      <c r="H32" t="str">
        <f>_xlfn.IFNA(+VLOOKUP(G32,Agrupacion!A:B,2,0),"")</f>
        <v>AGRUPADOR 2</v>
      </c>
      <c r="I32" t="str">
        <f>_xlfn.IFNA(+VLOOKUP(G32,Agrupacion!A:C,3,0),"")</f>
        <v>CABA SUR</v>
      </c>
      <c r="J32" t="s">
        <v>15</v>
      </c>
      <c r="K32" t="s">
        <v>678</v>
      </c>
      <c r="M32" t="s">
        <v>8</v>
      </c>
    </row>
    <row r="33" spans="1:13" x14ac:dyDescent="0.2">
      <c r="A33">
        <v>33</v>
      </c>
      <c r="B33" t="s">
        <v>2576</v>
      </c>
      <c r="C33">
        <v>1</v>
      </c>
      <c r="D33" t="s">
        <v>704</v>
      </c>
      <c r="E33" t="s">
        <v>10</v>
      </c>
      <c r="F33" t="s">
        <v>705</v>
      </c>
      <c r="G33" t="s">
        <v>396</v>
      </c>
      <c r="H33" t="str">
        <f>_xlfn.IFNA(+VLOOKUP(G33,Agrupacion!A:B,2,0),"")</f>
        <v>AGRUPADOR 3</v>
      </c>
      <c r="I33" t="str">
        <f>_xlfn.IFNA(+VLOOKUP(G33,Agrupacion!A:C,3,0),"")</f>
        <v>CABA SUR II</v>
      </c>
      <c r="J33" t="s">
        <v>15</v>
      </c>
      <c r="K33" t="s">
        <v>706</v>
      </c>
      <c r="M33" t="s">
        <v>8</v>
      </c>
    </row>
    <row r="34" spans="1:13" x14ac:dyDescent="0.2">
      <c r="A34">
        <v>34</v>
      </c>
      <c r="B34" t="s">
        <v>2577</v>
      </c>
      <c r="C34">
        <v>1</v>
      </c>
      <c r="D34" t="s">
        <v>738</v>
      </c>
      <c r="E34" t="s">
        <v>10</v>
      </c>
      <c r="F34" t="s">
        <v>739</v>
      </c>
      <c r="G34" t="s">
        <v>2677</v>
      </c>
      <c r="H34" t="str">
        <f>_xlfn.IFNA(+VLOOKUP(G34,Agrupacion!A:B,2,0),"")</f>
        <v>AGRUPADOR 1</v>
      </c>
      <c r="I34" t="str">
        <f>_xlfn.IFNA(+VLOOKUP(G34,Agrupacion!A:C,3,0),"")</f>
        <v>CABA NORTE</v>
      </c>
      <c r="J34" t="s">
        <v>76</v>
      </c>
      <c r="M34" t="s">
        <v>8</v>
      </c>
    </row>
    <row r="35" spans="1:13" x14ac:dyDescent="0.2">
      <c r="A35">
        <v>35</v>
      </c>
      <c r="B35" t="s">
        <v>2578</v>
      </c>
      <c r="C35">
        <v>1</v>
      </c>
      <c r="D35" t="s">
        <v>767</v>
      </c>
      <c r="E35" t="s">
        <v>10</v>
      </c>
      <c r="F35" t="s">
        <v>768</v>
      </c>
      <c r="G35" t="s">
        <v>396</v>
      </c>
      <c r="H35" t="str">
        <f>_xlfn.IFNA(+VLOOKUP(G35,Agrupacion!A:B,2,0),"")</f>
        <v>AGRUPADOR 3</v>
      </c>
      <c r="I35" t="str">
        <f>_xlfn.IFNA(+VLOOKUP(G35,Agrupacion!A:C,3,0),"")</f>
        <v>CABA SUR II</v>
      </c>
      <c r="J35" t="s">
        <v>15</v>
      </c>
      <c r="K35" t="s">
        <v>769</v>
      </c>
      <c r="M35" t="s">
        <v>8</v>
      </c>
    </row>
    <row r="36" spans="1:13" x14ac:dyDescent="0.2">
      <c r="A36">
        <v>36</v>
      </c>
      <c r="B36" t="s">
        <v>2579</v>
      </c>
      <c r="C36">
        <v>1</v>
      </c>
      <c r="D36" t="s">
        <v>797</v>
      </c>
      <c r="E36" t="s">
        <v>10</v>
      </c>
      <c r="F36" t="s">
        <v>798</v>
      </c>
      <c r="G36" t="s">
        <v>396</v>
      </c>
      <c r="H36" t="str">
        <f>_xlfn.IFNA(+VLOOKUP(G36,Agrupacion!A:B,2,0),"")</f>
        <v>AGRUPADOR 3</v>
      </c>
      <c r="I36" t="str">
        <f>_xlfn.IFNA(+VLOOKUP(G36,Agrupacion!A:C,3,0),"")</f>
        <v>CABA SUR II</v>
      </c>
      <c r="J36" t="s">
        <v>15</v>
      </c>
      <c r="K36" t="s">
        <v>799</v>
      </c>
      <c r="M36" t="s">
        <v>8</v>
      </c>
    </row>
    <row r="37" spans="1:13" x14ac:dyDescent="0.2">
      <c r="A37">
        <v>37</v>
      </c>
      <c r="B37" t="s">
        <v>2580</v>
      </c>
      <c r="C37">
        <v>1</v>
      </c>
      <c r="D37" t="s">
        <v>827</v>
      </c>
      <c r="E37" t="s">
        <v>10</v>
      </c>
      <c r="F37" t="s">
        <v>828</v>
      </c>
      <c r="G37" t="s">
        <v>249</v>
      </c>
      <c r="H37" t="str">
        <f>_xlfn.IFNA(+VLOOKUP(G37,Agrupacion!A:B,2,0),"")</f>
        <v>AGRUPADOR 2</v>
      </c>
      <c r="I37" t="str">
        <f>_xlfn.IFNA(+VLOOKUP(G37,Agrupacion!A:C,3,0),"")</f>
        <v>CABA SUR</v>
      </c>
      <c r="J37" t="s">
        <v>15</v>
      </c>
      <c r="M37" t="s">
        <v>8</v>
      </c>
    </row>
    <row r="38" spans="1:13" x14ac:dyDescent="0.2">
      <c r="A38">
        <v>38</v>
      </c>
      <c r="B38" t="s">
        <v>2581</v>
      </c>
      <c r="C38">
        <v>1</v>
      </c>
      <c r="D38" t="s">
        <v>854</v>
      </c>
      <c r="E38" t="s">
        <v>10</v>
      </c>
      <c r="F38" t="s">
        <v>855</v>
      </c>
      <c r="G38" t="s">
        <v>396</v>
      </c>
      <c r="H38" t="str">
        <f>_xlfn.IFNA(+VLOOKUP(G38,Agrupacion!A:B,2,0),"")</f>
        <v>AGRUPADOR 3</v>
      </c>
      <c r="I38" t="str">
        <f>_xlfn.IFNA(+VLOOKUP(G38,Agrupacion!A:C,3,0),"")</f>
        <v>CABA SUR II</v>
      </c>
      <c r="J38" t="s">
        <v>15</v>
      </c>
      <c r="K38" t="s">
        <v>856</v>
      </c>
      <c r="M38" t="s">
        <v>8</v>
      </c>
    </row>
    <row r="39" spans="1:13" x14ac:dyDescent="0.2">
      <c r="A39">
        <v>39</v>
      </c>
      <c r="B39" t="s">
        <v>2582</v>
      </c>
      <c r="C39">
        <v>1</v>
      </c>
      <c r="D39" t="s">
        <v>887</v>
      </c>
      <c r="E39" t="s">
        <v>96</v>
      </c>
      <c r="F39" t="s">
        <v>888</v>
      </c>
      <c r="G39" t="s">
        <v>889</v>
      </c>
      <c r="H39" t="str">
        <f>_xlfn.IFNA(+VLOOKUP(G39,Agrupacion!A:B,2,0),"")</f>
        <v>AGRUPADOR 6</v>
      </c>
      <c r="I39" t="str">
        <f>_xlfn.IFNA(+VLOOKUP(G39,Agrupacion!A:C,3,0),"")</f>
        <v>GBA OESTE</v>
      </c>
      <c r="J39" t="s">
        <v>890</v>
      </c>
      <c r="M39" t="s">
        <v>8</v>
      </c>
    </row>
    <row r="40" spans="1:13" x14ac:dyDescent="0.2">
      <c r="A40">
        <v>40</v>
      </c>
      <c r="B40" t="s">
        <v>2583</v>
      </c>
      <c r="C40">
        <v>1</v>
      </c>
      <c r="D40" t="s">
        <v>919</v>
      </c>
      <c r="E40" t="s">
        <v>10</v>
      </c>
      <c r="F40" t="s">
        <v>920</v>
      </c>
      <c r="G40" t="s">
        <v>170</v>
      </c>
      <c r="H40" t="str">
        <f>_xlfn.IFNA(+VLOOKUP(G40,Agrupacion!A:B,2,0),"")</f>
        <v>AGRUPADOR 2</v>
      </c>
      <c r="I40" t="str">
        <f>_xlfn.IFNA(+VLOOKUP(G40,Agrupacion!A:C,3,0),"")</f>
        <v>CABA SUR</v>
      </c>
      <c r="J40" t="s">
        <v>160</v>
      </c>
      <c r="K40" t="s">
        <v>921</v>
      </c>
      <c r="L40" t="s">
        <v>922</v>
      </c>
      <c r="M40" t="s">
        <v>8</v>
      </c>
    </row>
    <row r="41" spans="1:13" x14ac:dyDescent="0.2">
      <c r="A41">
        <v>41</v>
      </c>
      <c r="B41" t="s">
        <v>2584</v>
      </c>
      <c r="C41">
        <v>1</v>
      </c>
      <c r="D41" t="s">
        <v>950</v>
      </c>
      <c r="E41" t="s">
        <v>10</v>
      </c>
      <c r="F41" t="s">
        <v>951</v>
      </c>
      <c r="G41" t="s">
        <v>396</v>
      </c>
      <c r="H41" t="str">
        <f>_xlfn.IFNA(+VLOOKUP(G41,Agrupacion!A:B,2,0),"")</f>
        <v>AGRUPADOR 3</v>
      </c>
      <c r="I41" t="str">
        <f>_xlfn.IFNA(+VLOOKUP(G41,Agrupacion!A:C,3,0),"")</f>
        <v>CABA SUR II</v>
      </c>
      <c r="J41" t="s">
        <v>15</v>
      </c>
      <c r="K41" t="s">
        <v>952</v>
      </c>
      <c r="M41" t="s">
        <v>8</v>
      </c>
    </row>
    <row r="42" spans="1:13" x14ac:dyDescent="0.2">
      <c r="A42">
        <v>42</v>
      </c>
      <c r="B42" t="s">
        <v>2585</v>
      </c>
      <c r="C42">
        <v>1</v>
      </c>
      <c r="D42" t="s">
        <v>982</v>
      </c>
      <c r="E42" t="s">
        <v>10</v>
      </c>
      <c r="F42" t="s">
        <v>983</v>
      </c>
      <c r="G42" t="s">
        <v>108</v>
      </c>
      <c r="H42" t="str">
        <f>_xlfn.IFNA(+VLOOKUP(G42,Agrupacion!A:B,2,0),"")</f>
        <v>AGRUPADOR 1</v>
      </c>
      <c r="I42" t="str">
        <f>_xlfn.IFNA(+VLOOKUP(G42,Agrupacion!A:C,3,0),"")</f>
        <v>CABA NORTE</v>
      </c>
      <c r="J42" t="s">
        <v>109</v>
      </c>
      <c r="M42" t="s">
        <v>8</v>
      </c>
    </row>
    <row r="43" spans="1:13" x14ac:dyDescent="0.2">
      <c r="A43">
        <v>43</v>
      </c>
      <c r="B43" t="s">
        <v>2586</v>
      </c>
      <c r="C43">
        <v>1</v>
      </c>
      <c r="D43" t="s">
        <v>1012</v>
      </c>
      <c r="E43" t="s">
        <v>10</v>
      </c>
      <c r="F43" t="s">
        <v>1013</v>
      </c>
      <c r="G43" t="s">
        <v>170</v>
      </c>
      <c r="H43" t="str">
        <f>_xlfn.IFNA(+VLOOKUP(G43,Agrupacion!A:B,2,0),"")</f>
        <v>AGRUPADOR 2</v>
      </c>
      <c r="I43" t="str">
        <f>_xlfn.IFNA(+VLOOKUP(G43,Agrupacion!A:C,3,0),"")</f>
        <v>CABA SUR</v>
      </c>
      <c r="J43" t="s">
        <v>994</v>
      </c>
      <c r="M43" t="s">
        <v>8</v>
      </c>
    </row>
    <row r="44" spans="1:13" x14ac:dyDescent="0.2">
      <c r="A44">
        <v>44</v>
      </c>
      <c r="B44" t="s">
        <v>2587</v>
      </c>
      <c r="C44">
        <v>1</v>
      </c>
      <c r="D44" t="s">
        <v>1041</v>
      </c>
      <c r="E44" t="s">
        <v>10</v>
      </c>
      <c r="F44" t="s">
        <v>1042</v>
      </c>
      <c r="G44" t="s">
        <v>396</v>
      </c>
      <c r="H44" t="str">
        <f>_xlfn.IFNA(+VLOOKUP(G44,Agrupacion!A:B,2,0),"")</f>
        <v>AGRUPADOR 3</v>
      </c>
      <c r="I44" t="str">
        <f>_xlfn.IFNA(+VLOOKUP(G44,Agrupacion!A:C,3,0),"")</f>
        <v>CABA SUR II</v>
      </c>
      <c r="J44" t="s">
        <v>15</v>
      </c>
      <c r="K44" t="s">
        <v>1043</v>
      </c>
      <c r="M44" t="s">
        <v>8</v>
      </c>
    </row>
    <row r="45" spans="1:13" x14ac:dyDescent="0.2">
      <c r="A45">
        <v>45</v>
      </c>
      <c r="B45" t="s">
        <v>2588</v>
      </c>
      <c r="C45">
        <v>1</v>
      </c>
      <c r="D45" t="s">
        <v>1009</v>
      </c>
      <c r="E45" t="s">
        <v>10</v>
      </c>
      <c r="F45" t="s">
        <v>1010</v>
      </c>
      <c r="G45" t="s">
        <v>170</v>
      </c>
      <c r="H45" t="str">
        <f>_xlfn.IFNA(+VLOOKUP(G45,Agrupacion!A:B,2,0),"")</f>
        <v>AGRUPADOR 2</v>
      </c>
      <c r="I45" t="str">
        <f>_xlfn.IFNA(+VLOOKUP(G45,Agrupacion!A:C,3,0),"")</f>
        <v>CABA SUR</v>
      </c>
      <c r="J45" t="s">
        <v>15</v>
      </c>
      <c r="M45" t="s">
        <v>8</v>
      </c>
    </row>
    <row r="46" spans="1:13" x14ac:dyDescent="0.2">
      <c r="A46">
        <v>46</v>
      </c>
      <c r="B46" t="s">
        <v>2589</v>
      </c>
      <c r="C46">
        <v>1</v>
      </c>
      <c r="D46" t="s">
        <v>1095</v>
      </c>
      <c r="E46" t="s">
        <v>96</v>
      </c>
      <c r="F46" t="s">
        <v>1096</v>
      </c>
      <c r="G46" t="s">
        <v>385</v>
      </c>
      <c r="H46" t="str">
        <f>_xlfn.IFNA(+VLOOKUP(G46,Agrupacion!A:B,2,0),"")</f>
        <v>AGRUPADOR 6</v>
      </c>
      <c r="I46" t="str">
        <f>_xlfn.IFNA(+VLOOKUP(G46,Agrupacion!A:C,3,0),"")</f>
        <v>GBA OESTE</v>
      </c>
      <c r="J46" t="s">
        <v>386</v>
      </c>
      <c r="M46" t="s">
        <v>8</v>
      </c>
    </row>
    <row r="47" spans="1:13" x14ac:dyDescent="0.2">
      <c r="A47">
        <v>47</v>
      </c>
      <c r="B47" t="s">
        <v>2590</v>
      </c>
      <c r="C47">
        <v>1</v>
      </c>
      <c r="D47" t="s">
        <v>1119</v>
      </c>
      <c r="E47" t="s">
        <v>96</v>
      </c>
      <c r="F47" t="s">
        <v>1120</v>
      </c>
      <c r="G47" t="s">
        <v>1747</v>
      </c>
      <c r="H47" t="str">
        <f>_xlfn.IFNA(+VLOOKUP(G47,Agrupacion!A:B,2,0),"")</f>
        <v>AGRUPADOR 5</v>
      </c>
      <c r="I47" t="str">
        <f>_xlfn.IFNA(+VLOOKUP(G47,Agrupacion!A:C,3,0),"")</f>
        <v>GBA SUR II</v>
      </c>
      <c r="J47" t="s">
        <v>1121</v>
      </c>
      <c r="K47" t="s">
        <v>1122</v>
      </c>
      <c r="L47" t="s">
        <v>1123</v>
      </c>
      <c r="M47" t="s">
        <v>8</v>
      </c>
    </row>
    <row r="48" spans="1:13" x14ac:dyDescent="0.2">
      <c r="A48">
        <v>48</v>
      </c>
      <c r="B48" t="s">
        <v>2591</v>
      </c>
      <c r="C48">
        <v>1</v>
      </c>
      <c r="D48" t="s">
        <v>1146</v>
      </c>
      <c r="E48" t="s">
        <v>10</v>
      </c>
      <c r="F48" t="s">
        <v>1147</v>
      </c>
      <c r="G48" t="s">
        <v>396</v>
      </c>
      <c r="H48" t="str">
        <f>_xlfn.IFNA(+VLOOKUP(G48,Agrupacion!A:B,2,0),"")</f>
        <v>AGRUPADOR 3</v>
      </c>
      <c r="I48" t="str">
        <f>_xlfn.IFNA(+VLOOKUP(G48,Agrupacion!A:C,3,0),"")</f>
        <v>CABA SUR II</v>
      </c>
      <c r="J48" t="s">
        <v>15</v>
      </c>
      <c r="K48" t="s">
        <v>1148</v>
      </c>
      <c r="M48" t="s">
        <v>8</v>
      </c>
    </row>
    <row r="49" spans="1:13" x14ac:dyDescent="0.2">
      <c r="A49">
        <v>49</v>
      </c>
      <c r="B49" t="s">
        <v>2592</v>
      </c>
      <c r="C49">
        <v>1</v>
      </c>
      <c r="D49" t="s">
        <v>1171</v>
      </c>
      <c r="E49" t="s">
        <v>10</v>
      </c>
      <c r="F49" t="s">
        <v>1172</v>
      </c>
      <c r="G49" t="s">
        <v>48</v>
      </c>
      <c r="H49" t="str">
        <f>_xlfn.IFNA(+VLOOKUP(G49,Agrupacion!A:B,2,0),"")</f>
        <v>AGRUPADOR 2</v>
      </c>
      <c r="I49" t="str">
        <f>_xlfn.IFNA(+VLOOKUP(G49,Agrupacion!A:C,3,0),"")</f>
        <v>CABA SUR</v>
      </c>
      <c r="J49" t="s">
        <v>15</v>
      </c>
      <c r="M49" t="s">
        <v>8</v>
      </c>
    </row>
    <row r="50" spans="1:13" x14ac:dyDescent="0.2">
      <c r="A50">
        <v>50</v>
      </c>
      <c r="B50" t="s">
        <v>2593</v>
      </c>
      <c r="C50">
        <v>1</v>
      </c>
      <c r="D50" t="s">
        <v>1205</v>
      </c>
      <c r="E50" t="s">
        <v>10</v>
      </c>
      <c r="F50" t="s">
        <v>1206</v>
      </c>
      <c r="G50" t="s">
        <v>396</v>
      </c>
      <c r="H50" t="str">
        <f>_xlfn.IFNA(+VLOOKUP(G50,Agrupacion!A:B,2,0),"")</f>
        <v>AGRUPADOR 3</v>
      </c>
      <c r="I50" t="str">
        <f>_xlfn.IFNA(+VLOOKUP(G50,Agrupacion!A:C,3,0),"")</f>
        <v>CABA SUR II</v>
      </c>
      <c r="J50" t="s">
        <v>15</v>
      </c>
      <c r="K50" t="s">
        <v>1207</v>
      </c>
      <c r="M50" t="s">
        <v>8</v>
      </c>
    </row>
    <row r="51" spans="1:13" x14ac:dyDescent="0.2">
      <c r="A51">
        <v>51</v>
      </c>
      <c r="B51" t="s">
        <v>2594</v>
      </c>
      <c r="C51">
        <v>1</v>
      </c>
      <c r="D51" t="s">
        <v>1231</v>
      </c>
      <c r="E51" t="s">
        <v>10</v>
      </c>
      <c r="F51" t="s">
        <v>1232</v>
      </c>
      <c r="G51" t="s">
        <v>2697</v>
      </c>
      <c r="H51" t="str">
        <f>_xlfn.IFNA(+VLOOKUP(G51,Agrupacion!A:B,2,0),"")</f>
        <v>AGRUPADOR 3</v>
      </c>
      <c r="I51" t="str">
        <f>_xlfn.IFNA(+VLOOKUP(G51,Agrupacion!A:C,3,0),"")</f>
        <v>CABA SUR II</v>
      </c>
      <c r="J51" t="s">
        <v>195</v>
      </c>
      <c r="K51" t="s">
        <v>1233</v>
      </c>
      <c r="M51" t="s">
        <v>8</v>
      </c>
    </row>
    <row r="52" spans="1:13" x14ac:dyDescent="0.2">
      <c r="A52">
        <v>52</v>
      </c>
      <c r="B52" t="s">
        <v>2595</v>
      </c>
      <c r="C52">
        <v>1</v>
      </c>
      <c r="D52" t="s">
        <v>1260</v>
      </c>
      <c r="E52" t="s">
        <v>10</v>
      </c>
      <c r="F52" t="s">
        <v>1261</v>
      </c>
      <c r="G52" t="s">
        <v>2698</v>
      </c>
      <c r="H52" t="str">
        <f>_xlfn.IFNA(+VLOOKUP(G52,Agrupacion!A:B,2,0),"")</f>
        <v>AGRUPADOR 1</v>
      </c>
      <c r="I52" t="str">
        <f>_xlfn.IFNA(+VLOOKUP(G52,Agrupacion!A:C,3,0),"")</f>
        <v>CABA NORTE</v>
      </c>
      <c r="J52" t="s">
        <v>320</v>
      </c>
      <c r="K52" t="s">
        <v>1262</v>
      </c>
      <c r="M52" t="s">
        <v>8</v>
      </c>
    </row>
    <row r="53" spans="1:13" x14ac:dyDescent="0.2">
      <c r="A53">
        <v>53</v>
      </c>
      <c r="B53" t="s">
        <v>2428</v>
      </c>
      <c r="C53">
        <v>1</v>
      </c>
      <c r="D53" t="s">
        <v>1291</v>
      </c>
      <c r="E53" t="s">
        <v>10</v>
      </c>
      <c r="F53" t="s">
        <v>1292</v>
      </c>
      <c r="G53" t="s">
        <v>396</v>
      </c>
      <c r="H53" t="str">
        <f>_xlfn.IFNA(+VLOOKUP(G53,Agrupacion!A:B,2,0),"")</f>
        <v>AGRUPADOR 3</v>
      </c>
      <c r="I53" t="str">
        <f>_xlfn.IFNA(+VLOOKUP(G53,Agrupacion!A:C,3,0),"")</f>
        <v>CABA SUR II</v>
      </c>
      <c r="J53" t="s">
        <v>15</v>
      </c>
      <c r="K53" t="s">
        <v>1293</v>
      </c>
      <c r="M53" t="s">
        <v>8</v>
      </c>
    </row>
    <row r="54" spans="1:13" x14ac:dyDescent="0.2">
      <c r="A54">
        <v>54</v>
      </c>
      <c r="B54" t="s">
        <v>2429</v>
      </c>
      <c r="C54">
        <v>1</v>
      </c>
      <c r="D54" t="s">
        <v>1317</v>
      </c>
      <c r="E54" t="s">
        <v>10</v>
      </c>
      <c r="F54" t="s">
        <v>1318</v>
      </c>
      <c r="G54" t="s">
        <v>201</v>
      </c>
      <c r="H54" t="str">
        <f>_xlfn.IFNA(+VLOOKUP(G54,Agrupacion!A:B,2,0),"")</f>
        <v>AGRUPADOR 2</v>
      </c>
      <c r="I54" t="str">
        <f>_xlfn.IFNA(+VLOOKUP(G54,Agrupacion!A:C,3,0),"")</f>
        <v>CABA SUR</v>
      </c>
      <c r="J54" t="s">
        <v>1319</v>
      </c>
      <c r="K54" t="s">
        <v>1320</v>
      </c>
      <c r="M54" t="s">
        <v>8</v>
      </c>
    </row>
    <row r="55" spans="1:13" x14ac:dyDescent="0.2">
      <c r="A55">
        <v>55</v>
      </c>
      <c r="B55" t="s">
        <v>2430</v>
      </c>
      <c r="C55">
        <v>1</v>
      </c>
      <c r="D55" t="s">
        <v>1341</v>
      </c>
      <c r="E55" t="s">
        <v>10</v>
      </c>
      <c r="F55" t="s">
        <v>141</v>
      </c>
      <c r="G55" t="s">
        <v>201</v>
      </c>
      <c r="H55" t="str">
        <f>_xlfn.IFNA(+VLOOKUP(G55,Agrupacion!A:B,2,0),"")</f>
        <v>AGRUPADOR 2</v>
      </c>
      <c r="I55" t="str">
        <f>_xlfn.IFNA(+VLOOKUP(G55,Agrupacion!A:C,3,0),"")</f>
        <v>CABA SUR</v>
      </c>
      <c r="J55" t="s">
        <v>15</v>
      </c>
      <c r="K55" t="s">
        <v>1342</v>
      </c>
      <c r="M55" t="s">
        <v>8</v>
      </c>
    </row>
    <row r="56" spans="1:13" x14ac:dyDescent="0.2">
      <c r="A56">
        <v>56</v>
      </c>
      <c r="B56" t="s">
        <v>2431</v>
      </c>
      <c r="C56">
        <v>1</v>
      </c>
      <c r="D56" t="s">
        <v>1373</v>
      </c>
      <c r="E56" t="s">
        <v>10</v>
      </c>
      <c r="F56" t="s">
        <v>1374</v>
      </c>
      <c r="G56" t="s">
        <v>396</v>
      </c>
      <c r="H56" t="str">
        <f>_xlfn.IFNA(+VLOOKUP(G56,Agrupacion!A:B,2,0),"")</f>
        <v>AGRUPADOR 3</v>
      </c>
      <c r="I56" t="str">
        <f>_xlfn.IFNA(+VLOOKUP(G56,Agrupacion!A:C,3,0),"")</f>
        <v>CABA SUR II</v>
      </c>
      <c r="J56" t="s">
        <v>282</v>
      </c>
      <c r="M56" t="s">
        <v>8</v>
      </c>
    </row>
    <row r="57" spans="1:13" x14ac:dyDescent="0.2">
      <c r="A57">
        <v>58</v>
      </c>
      <c r="B57" t="s">
        <v>2432</v>
      </c>
      <c r="C57">
        <v>1</v>
      </c>
      <c r="D57" t="s">
        <v>1435</v>
      </c>
      <c r="E57" t="s">
        <v>10</v>
      </c>
      <c r="F57" t="s">
        <v>1436</v>
      </c>
      <c r="G57" t="s">
        <v>396</v>
      </c>
      <c r="H57" t="str">
        <f>_xlfn.IFNA(+VLOOKUP(G57,Agrupacion!A:B,2,0),"")</f>
        <v>AGRUPADOR 3</v>
      </c>
      <c r="I57" t="str">
        <f>_xlfn.IFNA(+VLOOKUP(G57,Agrupacion!A:C,3,0),"")</f>
        <v>CABA SUR II</v>
      </c>
      <c r="J57" t="s">
        <v>282</v>
      </c>
      <c r="M57" t="s">
        <v>8</v>
      </c>
    </row>
    <row r="58" spans="1:13" x14ac:dyDescent="0.2">
      <c r="A58">
        <v>59</v>
      </c>
      <c r="B58" t="s">
        <v>2166</v>
      </c>
      <c r="C58">
        <v>1</v>
      </c>
      <c r="D58" t="s">
        <v>850</v>
      </c>
      <c r="E58" t="s">
        <v>10</v>
      </c>
      <c r="F58" t="s">
        <v>851</v>
      </c>
      <c r="G58" t="s">
        <v>201</v>
      </c>
      <c r="H58" t="str">
        <f>_xlfn.IFNA(+VLOOKUP(G58,Agrupacion!A:B,2,0),"")</f>
        <v>AGRUPADOR 2</v>
      </c>
      <c r="I58" t="str">
        <f>_xlfn.IFNA(+VLOOKUP(G58,Agrupacion!A:C,3,0),"")</f>
        <v>CABA SUR</v>
      </c>
      <c r="J58" t="s">
        <v>852</v>
      </c>
      <c r="K58" t="s">
        <v>853</v>
      </c>
      <c r="M58" t="s">
        <v>8</v>
      </c>
    </row>
    <row r="59" spans="1:13" x14ac:dyDescent="0.2">
      <c r="A59">
        <v>60</v>
      </c>
      <c r="B59" t="s">
        <v>2433</v>
      </c>
      <c r="C59">
        <v>1</v>
      </c>
      <c r="D59" t="s">
        <v>478</v>
      </c>
      <c r="E59" t="s">
        <v>10</v>
      </c>
      <c r="F59" t="s">
        <v>479</v>
      </c>
      <c r="G59" t="s">
        <v>396</v>
      </c>
      <c r="H59" t="str">
        <f>_xlfn.IFNA(+VLOOKUP(G59,Agrupacion!A:B,2,0),"")</f>
        <v>AGRUPADOR 3</v>
      </c>
      <c r="I59" t="str">
        <f>_xlfn.IFNA(+VLOOKUP(G59,Agrupacion!A:C,3,0),"")</f>
        <v>CABA SUR II</v>
      </c>
      <c r="J59" t="s">
        <v>15</v>
      </c>
      <c r="K59" t="s">
        <v>1490</v>
      </c>
      <c r="M59" t="s">
        <v>8</v>
      </c>
    </row>
    <row r="60" spans="1:13" x14ac:dyDescent="0.2">
      <c r="A60">
        <v>61</v>
      </c>
      <c r="B60" t="s">
        <v>2434</v>
      </c>
      <c r="C60">
        <v>1</v>
      </c>
      <c r="D60" t="s">
        <v>1518</v>
      </c>
      <c r="E60" t="s">
        <v>10</v>
      </c>
      <c r="F60" t="s">
        <v>1519</v>
      </c>
      <c r="G60" t="s">
        <v>48</v>
      </c>
      <c r="H60" t="str">
        <f>_xlfn.IFNA(+VLOOKUP(G60,Agrupacion!A:B,2,0),"")</f>
        <v>AGRUPADOR 2</v>
      </c>
      <c r="I60" t="str">
        <f>_xlfn.IFNA(+VLOOKUP(G60,Agrupacion!A:C,3,0),"")</f>
        <v>CABA SUR</v>
      </c>
      <c r="J60" t="s">
        <v>15</v>
      </c>
      <c r="M60" t="s">
        <v>8</v>
      </c>
    </row>
    <row r="61" spans="1:13" x14ac:dyDescent="0.2">
      <c r="A61">
        <v>62</v>
      </c>
      <c r="B61" t="s">
        <v>2435</v>
      </c>
      <c r="C61">
        <v>1</v>
      </c>
      <c r="D61" t="s">
        <v>1547</v>
      </c>
      <c r="E61" t="s">
        <v>10</v>
      </c>
      <c r="F61" t="s">
        <v>21</v>
      </c>
      <c r="G61" t="s">
        <v>396</v>
      </c>
      <c r="H61" t="str">
        <f>_xlfn.IFNA(+VLOOKUP(G61,Agrupacion!A:B,2,0),"")</f>
        <v>AGRUPADOR 3</v>
      </c>
      <c r="I61" t="str">
        <f>_xlfn.IFNA(+VLOOKUP(G61,Agrupacion!A:C,3,0),"")</f>
        <v>CABA SUR II</v>
      </c>
      <c r="K61" t="s">
        <v>1548</v>
      </c>
      <c r="M61" t="s">
        <v>8</v>
      </c>
    </row>
    <row r="62" spans="1:13" x14ac:dyDescent="0.2">
      <c r="A62">
        <v>63</v>
      </c>
      <c r="B62" t="s">
        <v>2436</v>
      </c>
      <c r="C62">
        <v>1</v>
      </c>
      <c r="D62" t="s">
        <v>1573</v>
      </c>
      <c r="E62" t="s">
        <v>10</v>
      </c>
      <c r="F62" t="s">
        <v>1574</v>
      </c>
      <c r="G62" t="s">
        <v>396</v>
      </c>
      <c r="H62" t="str">
        <f>_xlfn.IFNA(+VLOOKUP(G62,Agrupacion!A:B,2,0),"")</f>
        <v>AGRUPADOR 3</v>
      </c>
      <c r="I62" t="str">
        <f>_xlfn.IFNA(+VLOOKUP(G62,Agrupacion!A:C,3,0),"")</f>
        <v>CABA SUR II</v>
      </c>
      <c r="M62" t="s">
        <v>8</v>
      </c>
    </row>
    <row r="63" spans="1:13" x14ac:dyDescent="0.2">
      <c r="A63">
        <v>64</v>
      </c>
      <c r="B63" t="s">
        <v>2437</v>
      </c>
      <c r="C63">
        <v>1</v>
      </c>
      <c r="D63" t="s">
        <v>1009</v>
      </c>
      <c r="E63" t="s">
        <v>10</v>
      </c>
      <c r="F63" t="s">
        <v>1010</v>
      </c>
      <c r="G63" t="s">
        <v>170</v>
      </c>
      <c r="H63" t="str">
        <f>_xlfn.IFNA(+VLOOKUP(G63,Agrupacion!A:B,2,0),"")</f>
        <v>AGRUPADOR 2</v>
      </c>
      <c r="I63" t="str">
        <f>_xlfn.IFNA(+VLOOKUP(G63,Agrupacion!A:C,3,0),"")</f>
        <v>CABA SUR</v>
      </c>
      <c r="M63" t="s">
        <v>8</v>
      </c>
    </row>
    <row r="64" spans="1:13" x14ac:dyDescent="0.2">
      <c r="A64">
        <v>65</v>
      </c>
      <c r="B64" t="s">
        <v>2438</v>
      </c>
      <c r="C64">
        <v>1</v>
      </c>
      <c r="D64" t="s">
        <v>1628</v>
      </c>
      <c r="E64" t="s">
        <v>10</v>
      </c>
      <c r="F64" t="s">
        <v>1629</v>
      </c>
      <c r="G64" t="s">
        <v>396</v>
      </c>
      <c r="H64" t="str">
        <f>_xlfn.IFNA(+VLOOKUP(G64,Agrupacion!A:B,2,0),"")</f>
        <v>AGRUPADOR 3</v>
      </c>
      <c r="I64" t="str">
        <f>_xlfn.IFNA(+VLOOKUP(G64,Agrupacion!A:C,3,0),"")</f>
        <v>CABA SUR II</v>
      </c>
      <c r="J64" t="s">
        <v>15</v>
      </c>
      <c r="M64" t="s">
        <v>8</v>
      </c>
    </row>
    <row r="65" spans="1:13" x14ac:dyDescent="0.2">
      <c r="A65">
        <v>66</v>
      </c>
      <c r="B65" t="s">
        <v>2439</v>
      </c>
      <c r="C65">
        <v>1</v>
      </c>
      <c r="D65" t="s">
        <v>1655</v>
      </c>
      <c r="E65" t="s">
        <v>10</v>
      </c>
      <c r="F65" t="s">
        <v>1656</v>
      </c>
      <c r="G65" t="s">
        <v>396</v>
      </c>
      <c r="H65" t="str">
        <f>_xlfn.IFNA(+VLOOKUP(G65,Agrupacion!A:B,2,0),"")</f>
        <v>AGRUPADOR 3</v>
      </c>
      <c r="I65" t="str">
        <f>_xlfn.IFNA(+VLOOKUP(G65,Agrupacion!A:C,3,0),"")</f>
        <v>CABA SUR II</v>
      </c>
      <c r="J65" t="s">
        <v>262</v>
      </c>
      <c r="K65" t="s">
        <v>1657</v>
      </c>
      <c r="M65" t="s">
        <v>8</v>
      </c>
    </row>
    <row r="66" spans="1:13" x14ac:dyDescent="0.2">
      <c r="A66">
        <v>67</v>
      </c>
      <c r="B66" t="s">
        <v>2440</v>
      </c>
      <c r="C66">
        <v>1</v>
      </c>
      <c r="D66" t="s">
        <v>1012</v>
      </c>
      <c r="E66" t="s">
        <v>10</v>
      </c>
      <c r="F66" t="s">
        <v>1013</v>
      </c>
      <c r="G66" t="s">
        <v>170</v>
      </c>
      <c r="H66" t="str">
        <f>_xlfn.IFNA(+VLOOKUP(G66,Agrupacion!A:B,2,0),"")</f>
        <v>AGRUPADOR 2</v>
      </c>
      <c r="I66" t="str">
        <f>_xlfn.IFNA(+VLOOKUP(G66,Agrupacion!A:C,3,0),"")</f>
        <v>CABA SUR</v>
      </c>
      <c r="J66" t="s">
        <v>994</v>
      </c>
      <c r="M66" t="s">
        <v>8</v>
      </c>
    </row>
    <row r="67" spans="1:13" x14ac:dyDescent="0.2">
      <c r="A67">
        <v>68</v>
      </c>
      <c r="B67" t="s">
        <v>2441</v>
      </c>
      <c r="C67">
        <v>1</v>
      </c>
      <c r="D67" t="s">
        <v>1697</v>
      </c>
      <c r="E67" t="s">
        <v>10</v>
      </c>
      <c r="F67" t="s">
        <v>1698</v>
      </c>
      <c r="G67" t="s">
        <v>2697</v>
      </c>
      <c r="H67" t="str">
        <f>_xlfn.IFNA(+VLOOKUP(G67,Agrupacion!A:B,2,0),"")</f>
        <v>AGRUPADOR 3</v>
      </c>
      <c r="I67" t="str">
        <f>_xlfn.IFNA(+VLOOKUP(G67,Agrupacion!A:C,3,0),"")</f>
        <v>CABA SUR II</v>
      </c>
      <c r="J67" t="s">
        <v>195</v>
      </c>
      <c r="K67" t="s">
        <v>1699</v>
      </c>
      <c r="M67" t="s">
        <v>8</v>
      </c>
    </row>
    <row r="68" spans="1:13" x14ac:dyDescent="0.2">
      <c r="A68">
        <v>69</v>
      </c>
      <c r="B68" t="s">
        <v>2442</v>
      </c>
      <c r="C68">
        <v>1</v>
      </c>
      <c r="D68" t="s">
        <v>1720</v>
      </c>
      <c r="E68" t="s">
        <v>10</v>
      </c>
      <c r="F68" t="s">
        <v>1721</v>
      </c>
      <c r="G68" t="s">
        <v>396</v>
      </c>
      <c r="H68" t="str">
        <f>_xlfn.IFNA(+VLOOKUP(G68,Agrupacion!A:B,2,0),"")</f>
        <v>AGRUPADOR 3</v>
      </c>
      <c r="I68" t="str">
        <f>_xlfn.IFNA(+VLOOKUP(G68,Agrupacion!A:C,3,0),"")</f>
        <v>CABA SUR II</v>
      </c>
      <c r="K68" t="s">
        <v>1722</v>
      </c>
      <c r="M68" t="s">
        <v>8</v>
      </c>
    </row>
    <row r="69" spans="1:13" x14ac:dyDescent="0.2">
      <c r="A69">
        <v>70</v>
      </c>
      <c r="B69" t="s">
        <v>2443</v>
      </c>
      <c r="C69">
        <v>1</v>
      </c>
      <c r="D69" t="s">
        <v>245</v>
      </c>
      <c r="E69" t="s">
        <v>10</v>
      </c>
      <c r="F69" t="s">
        <v>246</v>
      </c>
      <c r="G69" t="s">
        <v>170</v>
      </c>
      <c r="H69" t="str">
        <f>_xlfn.IFNA(+VLOOKUP(G69,Agrupacion!A:B,2,0),"")</f>
        <v>AGRUPADOR 2</v>
      </c>
      <c r="I69" t="str">
        <f>_xlfn.IFNA(+VLOOKUP(G69,Agrupacion!A:C,3,0),"")</f>
        <v>CABA SUR</v>
      </c>
      <c r="J69" t="s">
        <v>160</v>
      </c>
      <c r="K69" t="s">
        <v>247</v>
      </c>
      <c r="M69" t="s">
        <v>8</v>
      </c>
    </row>
    <row r="70" spans="1:13" x14ac:dyDescent="0.2">
      <c r="A70">
        <v>71</v>
      </c>
      <c r="B70" t="s">
        <v>2444</v>
      </c>
      <c r="C70">
        <v>1</v>
      </c>
      <c r="D70" t="s">
        <v>1774</v>
      </c>
      <c r="E70" t="s">
        <v>10</v>
      </c>
      <c r="F70" t="s">
        <v>1429</v>
      </c>
      <c r="G70" t="s">
        <v>2699</v>
      </c>
      <c r="H70" t="str">
        <f>_xlfn.IFNA(+VLOOKUP(G70,Agrupacion!A:B,2,0),"")</f>
        <v>AGRUPADOR 2</v>
      </c>
      <c r="I70" t="str">
        <f>_xlfn.IFNA(+VLOOKUP(G70,Agrupacion!A:C,3,0),"")</f>
        <v>CABA SUR</v>
      </c>
      <c r="J70" t="s">
        <v>1430</v>
      </c>
      <c r="K70" t="s">
        <v>1431</v>
      </c>
      <c r="M70" t="s">
        <v>8</v>
      </c>
    </row>
    <row r="71" spans="1:13" x14ac:dyDescent="0.2">
      <c r="A71">
        <v>72</v>
      </c>
      <c r="B71" t="s">
        <v>2445</v>
      </c>
      <c r="C71">
        <v>1</v>
      </c>
      <c r="D71" t="s">
        <v>470</v>
      </c>
      <c r="E71" t="s">
        <v>10</v>
      </c>
      <c r="F71" t="s">
        <v>111</v>
      </c>
      <c r="G71" t="s">
        <v>396</v>
      </c>
      <c r="H71" t="str">
        <f>_xlfn.IFNA(+VLOOKUP(G71,Agrupacion!A:B,2,0),"")</f>
        <v>AGRUPADOR 3</v>
      </c>
      <c r="I71" t="str">
        <f>_xlfn.IFNA(+VLOOKUP(G71,Agrupacion!A:C,3,0),"")</f>
        <v>CABA SUR II</v>
      </c>
      <c r="J71" t="s">
        <v>15</v>
      </c>
      <c r="M71" t="s">
        <v>8</v>
      </c>
    </row>
    <row r="72" spans="1:13" x14ac:dyDescent="0.2">
      <c r="A72">
        <v>73</v>
      </c>
      <c r="B72" t="s">
        <v>2446</v>
      </c>
      <c r="C72">
        <v>1</v>
      </c>
      <c r="D72" t="s">
        <v>1822</v>
      </c>
      <c r="E72" t="s">
        <v>10</v>
      </c>
      <c r="F72" t="s">
        <v>1823</v>
      </c>
      <c r="G72" t="s">
        <v>170</v>
      </c>
      <c r="H72" t="str">
        <f>_xlfn.IFNA(+VLOOKUP(G72,Agrupacion!A:B,2,0),"")</f>
        <v>AGRUPADOR 2</v>
      </c>
      <c r="I72" t="str">
        <f>_xlfn.IFNA(+VLOOKUP(G72,Agrupacion!A:C,3,0),"")</f>
        <v>CABA SUR</v>
      </c>
      <c r="M72" t="s">
        <v>8</v>
      </c>
    </row>
    <row r="73" spans="1:13" x14ac:dyDescent="0.2">
      <c r="A73">
        <v>74</v>
      </c>
      <c r="B73" t="s">
        <v>2447</v>
      </c>
      <c r="C73">
        <v>1</v>
      </c>
      <c r="D73" t="s">
        <v>1849</v>
      </c>
      <c r="E73" t="s">
        <v>10</v>
      </c>
      <c r="F73" t="s">
        <v>506</v>
      </c>
      <c r="G73" t="s">
        <v>48</v>
      </c>
      <c r="H73" t="str">
        <f>_xlfn.IFNA(+VLOOKUP(G73,Agrupacion!A:B,2,0),"")</f>
        <v>AGRUPADOR 2</v>
      </c>
      <c r="I73" t="str">
        <f>_xlfn.IFNA(+VLOOKUP(G73,Agrupacion!A:C,3,0),"")</f>
        <v>CABA SUR</v>
      </c>
      <c r="J73" t="s">
        <v>15</v>
      </c>
      <c r="M73" t="s">
        <v>8</v>
      </c>
    </row>
    <row r="74" spans="1:13" x14ac:dyDescent="0.2">
      <c r="A74">
        <v>75</v>
      </c>
      <c r="B74" t="s">
        <v>2448</v>
      </c>
      <c r="C74">
        <v>1</v>
      </c>
      <c r="D74" t="s">
        <v>1870</v>
      </c>
      <c r="F74" t="s">
        <v>1871</v>
      </c>
      <c r="G74" t="s">
        <v>249</v>
      </c>
      <c r="H74" t="str">
        <f>_xlfn.IFNA(+VLOOKUP(G74,Agrupacion!A:B,2,0),"")</f>
        <v>AGRUPADOR 2</v>
      </c>
      <c r="I74" t="str">
        <f>_xlfn.IFNA(+VLOOKUP(G74,Agrupacion!A:C,3,0),"")</f>
        <v>CABA SUR</v>
      </c>
      <c r="J74" t="s">
        <v>15</v>
      </c>
      <c r="M74" t="s">
        <v>8</v>
      </c>
    </row>
    <row r="75" spans="1:13" x14ac:dyDescent="0.2">
      <c r="A75">
        <v>76</v>
      </c>
      <c r="B75" t="s">
        <v>2596</v>
      </c>
      <c r="C75">
        <v>1</v>
      </c>
      <c r="D75" t="s">
        <v>1886</v>
      </c>
      <c r="E75" t="s">
        <v>10</v>
      </c>
      <c r="F75" t="s">
        <v>1887</v>
      </c>
      <c r="G75" t="s">
        <v>170</v>
      </c>
      <c r="H75" t="str">
        <f>_xlfn.IFNA(+VLOOKUP(G75,Agrupacion!A:B,2,0),"")</f>
        <v>AGRUPADOR 2</v>
      </c>
      <c r="I75" t="str">
        <f>_xlfn.IFNA(+VLOOKUP(G75,Agrupacion!A:C,3,0),"")</f>
        <v>CABA SUR</v>
      </c>
      <c r="J75" t="s">
        <v>160</v>
      </c>
      <c r="K75" t="s">
        <v>1888</v>
      </c>
      <c r="M75" t="s">
        <v>8</v>
      </c>
    </row>
    <row r="76" spans="1:13" x14ac:dyDescent="0.2">
      <c r="A76">
        <v>77</v>
      </c>
      <c r="B76" t="s">
        <v>2597</v>
      </c>
      <c r="C76">
        <v>1</v>
      </c>
      <c r="D76" t="s">
        <v>1889</v>
      </c>
      <c r="E76" t="s">
        <v>10</v>
      </c>
      <c r="F76" t="s">
        <v>1890</v>
      </c>
      <c r="G76" t="s">
        <v>2697</v>
      </c>
      <c r="H76" t="str">
        <f>_xlfn.IFNA(+VLOOKUP(G76,Agrupacion!A:B,2,0),"")</f>
        <v>AGRUPADOR 3</v>
      </c>
      <c r="I76" t="str">
        <f>_xlfn.IFNA(+VLOOKUP(G76,Agrupacion!A:C,3,0),"")</f>
        <v>CABA SUR II</v>
      </c>
      <c r="J76" t="s">
        <v>994</v>
      </c>
      <c r="K76" t="s">
        <v>1891</v>
      </c>
      <c r="M76" t="s">
        <v>8</v>
      </c>
    </row>
    <row r="77" spans="1:13" x14ac:dyDescent="0.2">
      <c r="A77">
        <v>78</v>
      </c>
      <c r="B77" t="s">
        <v>2453</v>
      </c>
      <c r="C77">
        <v>1</v>
      </c>
      <c r="D77" t="s">
        <v>1892</v>
      </c>
      <c r="F77" t="s">
        <v>1893</v>
      </c>
      <c r="G77" t="s">
        <v>396</v>
      </c>
      <c r="H77" t="str">
        <f>_xlfn.IFNA(+VLOOKUP(G77,Agrupacion!A:B,2,0),"")</f>
        <v>AGRUPADOR 3</v>
      </c>
      <c r="I77" t="str">
        <f>_xlfn.IFNA(+VLOOKUP(G77,Agrupacion!A:C,3,0),"")</f>
        <v>CABA SUR II</v>
      </c>
      <c r="J77" t="s">
        <v>15</v>
      </c>
      <c r="M77" t="s">
        <v>8</v>
      </c>
    </row>
    <row r="78" spans="1:13" x14ac:dyDescent="0.2">
      <c r="A78">
        <v>79</v>
      </c>
      <c r="B78" t="s">
        <v>2454</v>
      </c>
      <c r="C78">
        <v>1</v>
      </c>
      <c r="D78" t="s">
        <v>1894</v>
      </c>
      <c r="F78" t="s">
        <v>1895</v>
      </c>
      <c r="G78" t="s">
        <v>396</v>
      </c>
      <c r="H78" t="str">
        <f>_xlfn.IFNA(+VLOOKUP(G78,Agrupacion!A:B,2,0),"")</f>
        <v>AGRUPADOR 3</v>
      </c>
      <c r="I78" t="str">
        <f>_xlfn.IFNA(+VLOOKUP(G78,Agrupacion!A:C,3,0),"")</f>
        <v>CABA SUR II</v>
      </c>
      <c r="J78" t="s">
        <v>15</v>
      </c>
      <c r="M78" t="s">
        <v>8</v>
      </c>
    </row>
    <row r="79" spans="1:13" x14ac:dyDescent="0.2">
      <c r="A79">
        <v>80</v>
      </c>
      <c r="B79" t="s">
        <v>2455</v>
      </c>
      <c r="C79">
        <v>1</v>
      </c>
      <c r="D79" t="s">
        <v>1899</v>
      </c>
      <c r="F79" t="s">
        <v>1900</v>
      </c>
      <c r="G79" t="s">
        <v>1857</v>
      </c>
      <c r="H79" t="str">
        <f>_xlfn.IFNA(+VLOOKUP(G79,Agrupacion!A:B,2,0),"")</f>
        <v>AGRUPADOR 8</v>
      </c>
      <c r="I79" t="str">
        <f>_xlfn.IFNA(+VLOOKUP(G79,Agrupacion!A:C,3,0),"")</f>
        <v>GBA NORTE</v>
      </c>
      <c r="J79" t="s">
        <v>1858</v>
      </c>
      <c r="M79" t="s">
        <v>8</v>
      </c>
    </row>
    <row r="80" spans="1:13" x14ac:dyDescent="0.2">
      <c r="A80">
        <v>81</v>
      </c>
      <c r="B80" t="s">
        <v>2456</v>
      </c>
      <c r="C80">
        <v>1</v>
      </c>
      <c r="D80" t="s">
        <v>1901</v>
      </c>
      <c r="F80" t="s">
        <v>1902</v>
      </c>
      <c r="G80" t="s">
        <v>396</v>
      </c>
      <c r="H80" t="str">
        <f>_xlfn.IFNA(+VLOOKUP(G80,Agrupacion!A:B,2,0),"")</f>
        <v>AGRUPADOR 3</v>
      </c>
      <c r="I80" t="str">
        <f>_xlfn.IFNA(+VLOOKUP(G80,Agrupacion!A:C,3,0),"")</f>
        <v>CABA SUR II</v>
      </c>
      <c r="J80" t="s">
        <v>15</v>
      </c>
      <c r="K80" t="s">
        <v>1405</v>
      </c>
      <c r="M80" t="s">
        <v>8</v>
      </c>
    </row>
    <row r="81" spans="1:13" x14ac:dyDescent="0.2">
      <c r="A81">
        <v>82</v>
      </c>
      <c r="B81" t="s">
        <v>2457</v>
      </c>
      <c r="C81">
        <v>1</v>
      </c>
      <c r="D81" t="s">
        <v>1903</v>
      </c>
      <c r="E81" t="s">
        <v>10</v>
      </c>
      <c r="F81" t="s">
        <v>1904</v>
      </c>
      <c r="G81" t="s">
        <v>396</v>
      </c>
      <c r="H81" t="str">
        <f>_xlfn.IFNA(+VLOOKUP(G81,Agrupacion!A:B,2,0),"")</f>
        <v>AGRUPADOR 3</v>
      </c>
      <c r="I81" t="str">
        <f>_xlfn.IFNA(+VLOOKUP(G81,Agrupacion!A:C,3,0),"")</f>
        <v>CABA SUR II</v>
      </c>
      <c r="J81" t="s">
        <v>15</v>
      </c>
      <c r="K81" t="s">
        <v>1905</v>
      </c>
      <c r="M81" t="s">
        <v>8</v>
      </c>
    </row>
    <row r="82" spans="1:13" x14ac:dyDescent="0.2">
      <c r="A82">
        <v>83</v>
      </c>
      <c r="B82" t="s">
        <v>2458</v>
      </c>
      <c r="C82">
        <v>1</v>
      </c>
      <c r="D82" t="s">
        <v>1906</v>
      </c>
      <c r="E82" t="s">
        <v>10</v>
      </c>
      <c r="F82" t="s">
        <v>1907</v>
      </c>
      <c r="G82" t="s">
        <v>170</v>
      </c>
      <c r="H82" t="str">
        <f>_xlfn.IFNA(+VLOOKUP(G82,Agrupacion!A:B,2,0),"")</f>
        <v>AGRUPADOR 2</v>
      </c>
      <c r="I82" t="str">
        <f>_xlfn.IFNA(+VLOOKUP(G82,Agrupacion!A:C,3,0),"")</f>
        <v>CABA SUR</v>
      </c>
      <c r="J82" t="s">
        <v>160</v>
      </c>
      <c r="M82" t="s">
        <v>8</v>
      </c>
    </row>
    <row r="83" spans="1:13" x14ac:dyDescent="0.2">
      <c r="A83">
        <v>84</v>
      </c>
      <c r="B83" t="s">
        <v>2459</v>
      </c>
      <c r="C83">
        <v>1</v>
      </c>
      <c r="D83" t="s">
        <v>1908</v>
      </c>
      <c r="F83" t="s">
        <v>861</v>
      </c>
      <c r="G83" t="s">
        <v>396</v>
      </c>
      <c r="H83" t="str">
        <f>_xlfn.IFNA(+VLOOKUP(G83,Agrupacion!A:B,2,0),"")</f>
        <v>AGRUPADOR 3</v>
      </c>
      <c r="I83" t="str">
        <f>_xlfn.IFNA(+VLOOKUP(G83,Agrupacion!A:C,3,0),"")</f>
        <v>CABA SUR II</v>
      </c>
      <c r="J83" t="s">
        <v>15</v>
      </c>
      <c r="M83" t="s">
        <v>8</v>
      </c>
    </row>
    <row r="84" spans="1:13" x14ac:dyDescent="0.2">
      <c r="A84">
        <v>85</v>
      </c>
      <c r="B84" t="s">
        <v>2460</v>
      </c>
      <c r="C84">
        <v>1</v>
      </c>
      <c r="D84" t="s">
        <v>1909</v>
      </c>
      <c r="E84" t="s">
        <v>10</v>
      </c>
      <c r="F84" t="s">
        <v>1910</v>
      </c>
      <c r="G84" t="s">
        <v>396</v>
      </c>
      <c r="H84" t="str">
        <f>_xlfn.IFNA(+VLOOKUP(G84,Agrupacion!A:B,2,0),"")</f>
        <v>AGRUPADOR 3</v>
      </c>
      <c r="I84" t="str">
        <f>_xlfn.IFNA(+VLOOKUP(G84,Agrupacion!A:C,3,0),"")</f>
        <v>CABA SUR II</v>
      </c>
      <c r="J84" t="s">
        <v>15</v>
      </c>
      <c r="K84" t="s">
        <v>1911</v>
      </c>
      <c r="M84" t="s">
        <v>8</v>
      </c>
    </row>
    <row r="85" spans="1:13" x14ac:dyDescent="0.2">
      <c r="A85">
        <v>86</v>
      </c>
      <c r="B85" t="s">
        <v>2461</v>
      </c>
      <c r="C85">
        <v>1</v>
      </c>
      <c r="D85" t="s">
        <v>1913</v>
      </c>
      <c r="E85" t="s">
        <v>10</v>
      </c>
      <c r="F85" t="s">
        <v>1914</v>
      </c>
      <c r="G85" t="s">
        <v>170</v>
      </c>
      <c r="H85" t="str">
        <f>_xlfn.IFNA(+VLOOKUP(G85,Agrupacion!A:B,2,0),"")</f>
        <v>AGRUPADOR 2</v>
      </c>
      <c r="I85" t="str">
        <f>_xlfn.IFNA(+VLOOKUP(G85,Agrupacion!A:C,3,0),"")</f>
        <v>CABA SUR</v>
      </c>
      <c r="J85" t="s">
        <v>191</v>
      </c>
      <c r="K85" t="s">
        <v>1915</v>
      </c>
      <c r="M85" t="s">
        <v>8</v>
      </c>
    </row>
    <row r="86" spans="1:13" x14ac:dyDescent="0.2">
      <c r="A86">
        <v>87</v>
      </c>
      <c r="B86" t="s">
        <v>2462</v>
      </c>
      <c r="C86">
        <v>1</v>
      </c>
      <c r="D86" t="s">
        <v>1916</v>
      </c>
      <c r="E86" t="s">
        <v>10</v>
      </c>
      <c r="F86" t="s">
        <v>1917</v>
      </c>
      <c r="G86" t="s">
        <v>2677</v>
      </c>
      <c r="H86" t="str">
        <f>_xlfn.IFNA(+VLOOKUP(G86,Agrupacion!A:B,2,0),"")</f>
        <v>AGRUPADOR 1</v>
      </c>
      <c r="I86" t="str">
        <f>_xlfn.IFNA(+VLOOKUP(G86,Agrupacion!A:C,3,0),"")</f>
        <v>CABA NORTE</v>
      </c>
      <c r="J86" t="s">
        <v>802</v>
      </c>
      <c r="K86" t="s">
        <v>1918</v>
      </c>
      <c r="M86" t="s">
        <v>8</v>
      </c>
    </row>
    <row r="87" spans="1:13" x14ac:dyDescent="0.2">
      <c r="A87">
        <v>88</v>
      </c>
      <c r="B87" t="s">
        <v>2463</v>
      </c>
      <c r="C87">
        <v>1</v>
      </c>
      <c r="D87" t="s">
        <v>1919</v>
      </c>
      <c r="E87" t="s">
        <v>10</v>
      </c>
      <c r="F87" t="s">
        <v>1920</v>
      </c>
      <c r="G87" t="s">
        <v>396</v>
      </c>
      <c r="H87" t="str">
        <f>_xlfn.IFNA(+VLOOKUP(G87,Agrupacion!A:B,2,0),"")</f>
        <v>AGRUPADOR 3</v>
      </c>
      <c r="I87" t="str">
        <f>_xlfn.IFNA(+VLOOKUP(G87,Agrupacion!A:C,3,0),"")</f>
        <v>CABA SUR II</v>
      </c>
      <c r="J87" t="s">
        <v>15</v>
      </c>
      <c r="K87" t="s">
        <v>1921</v>
      </c>
      <c r="M87" t="s">
        <v>8</v>
      </c>
    </row>
    <row r="88" spans="1:13" x14ac:dyDescent="0.2">
      <c r="A88">
        <v>89</v>
      </c>
      <c r="B88" t="s">
        <v>2464</v>
      </c>
      <c r="C88">
        <v>1</v>
      </c>
      <c r="D88" t="s">
        <v>1922</v>
      </c>
      <c r="F88" t="s">
        <v>1923</v>
      </c>
      <c r="G88" t="s">
        <v>48</v>
      </c>
      <c r="H88" t="str">
        <f>_xlfn.IFNA(+VLOOKUP(G88,Agrupacion!A:B,2,0),"")</f>
        <v>AGRUPADOR 2</v>
      </c>
      <c r="I88" t="str">
        <f>_xlfn.IFNA(+VLOOKUP(G88,Agrupacion!A:C,3,0),"")</f>
        <v>CABA SUR</v>
      </c>
      <c r="J88" t="s">
        <v>15</v>
      </c>
      <c r="M88" t="s">
        <v>8</v>
      </c>
    </row>
    <row r="89" spans="1:13" x14ac:dyDescent="0.2">
      <c r="A89">
        <v>90</v>
      </c>
      <c r="B89" t="s">
        <v>2465</v>
      </c>
      <c r="C89">
        <v>1</v>
      </c>
      <c r="D89" t="s">
        <v>1927</v>
      </c>
      <c r="E89" t="s">
        <v>10</v>
      </c>
      <c r="F89" t="s">
        <v>1928</v>
      </c>
      <c r="G89" t="s">
        <v>201</v>
      </c>
      <c r="H89" t="str">
        <f>_xlfn.IFNA(+VLOOKUP(G89,Agrupacion!A:B,2,0),"")</f>
        <v>AGRUPADOR 2</v>
      </c>
      <c r="I89" t="str">
        <f>_xlfn.IFNA(+VLOOKUP(G89,Agrupacion!A:C,3,0),"")</f>
        <v>CABA SUR</v>
      </c>
      <c r="M89" t="s">
        <v>8</v>
      </c>
    </row>
    <row r="90" spans="1:13" x14ac:dyDescent="0.2">
      <c r="A90">
        <v>91</v>
      </c>
      <c r="B90" t="s">
        <v>2466</v>
      </c>
      <c r="C90">
        <v>1</v>
      </c>
      <c r="D90" t="s">
        <v>1931</v>
      </c>
      <c r="F90" t="s">
        <v>1932</v>
      </c>
      <c r="G90" t="s">
        <v>1933</v>
      </c>
      <c r="H90" t="str">
        <f>_xlfn.IFNA(+VLOOKUP(G90,Agrupacion!A:B,2,0),"")</f>
        <v>AGRUPADOR 6</v>
      </c>
      <c r="I90" t="str">
        <f>_xlfn.IFNA(+VLOOKUP(G90,Agrupacion!A:C,3,0),"")</f>
        <v>GBA OESTE</v>
      </c>
      <c r="J90" t="s">
        <v>1934</v>
      </c>
      <c r="M90" t="s">
        <v>8</v>
      </c>
    </row>
    <row r="91" spans="1:13" x14ac:dyDescent="0.2">
      <c r="A91">
        <v>92</v>
      </c>
      <c r="B91" t="s">
        <v>2467</v>
      </c>
      <c r="C91">
        <v>1</v>
      </c>
      <c r="D91" t="s">
        <v>1935</v>
      </c>
      <c r="F91" t="s">
        <v>1936</v>
      </c>
      <c r="G91" t="s">
        <v>396</v>
      </c>
      <c r="H91" t="str">
        <f>_xlfn.IFNA(+VLOOKUP(G91,Agrupacion!A:B,2,0),"")</f>
        <v>AGRUPADOR 3</v>
      </c>
      <c r="I91" t="str">
        <f>_xlfn.IFNA(+VLOOKUP(G91,Agrupacion!A:C,3,0),"")</f>
        <v>CABA SUR II</v>
      </c>
      <c r="J91" t="s">
        <v>15</v>
      </c>
      <c r="M91" t="s">
        <v>8</v>
      </c>
    </row>
    <row r="92" spans="1:13" x14ac:dyDescent="0.2">
      <c r="A92">
        <v>93</v>
      </c>
      <c r="B92" t="s">
        <v>2468</v>
      </c>
      <c r="C92">
        <v>1</v>
      </c>
      <c r="D92" t="s">
        <v>1937</v>
      </c>
      <c r="E92" t="s">
        <v>10</v>
      </c>
      <c r="F92" t="s">
        <v>1938</v>
      </c>
      <c r="G92" t="s">
        <v>396</v>
      </c>
      <c r="H92" t="str">
        <f>_xlfn.IFNA(+VLOOKUP(G92,Agrupacion!A:B,2,0),"")</f>
        <v>AGRUPADOR 3</v>
      </c>
      <c r="I92" t="str">
        <f>_xlfn.IFNA(+VLOOKUP(G92,Agrupacion!A:C,3,0),"")</f>
        <v>CABA SUR II</v>
      </c>
      <c r="M92" t="s">
        <v>8</v>
      </c>
    </row>
    <row r="93" spans="1:13" x14ac:dyDescent="0.2">
      <c r="A93">
        <v>94</v>
      </c>
      <c r="B93" t="s">
        <v>2469</v>
      </c>
      <c r="C93">
        <v>1</v>
      </c>
      <c r="D93" t="s">
        <v>1939</v>
      </c>
      <c r="F93" t="s">
        <v>1940</v>
      </c>
      <c r="G93" t="s">
        <v>48</v>
      </c>
      <c r="H93" t="str">
        <f>_xlfn.IFNA(+VLOOKUP(G93,Agrupacion!A:B,2,0),"")</f>
        <v>AGRUPADOR 2</v>
      </c>
      <c r="I93" t="str">
        <f>_xlfn.IFNA(+VLOOKUP(G93,Agrupacion!A:C,3,0),"")</f>
        <v>CABA SUR</v>
      </c>
      <c r="M93" t="s">
        <v>8</v>
      </c>
    </row>
    <row r="94" spans="1:13" x14ac:dyDescent="0.2">
      <c r="A94">
        <v>95</v>
      </c>
      <c r="B94" t="s">
        <v>2470</v>
      </c>
      <c r="C94">
        <v>1</v>
      </c>
      <c r="D94" t="s">
        <v>1941</v>
      </c>
      <c r="F94" t="s">
        <v>851</v>
      </c>
      <c r="G94" t="s">
        <v>48</v>
      </c>
      <c r="H94" t="str">
        <f>_xlfn.IFNA(+VLOOKUP(G94,Agrupacion!A:B,2,0),"")</f>
        <v>AGRUPADOR 2</v>
      </c>
      <c r="I94" t="str">
        <f>_xlfn.IFNA(+VLOOKUP(G94,Agrupacion!A:C,3,0),"")</f>
        <v>CABA SUR</v>
      </c>
      <c r="J94" t="s">
        <v>15</v>
      </c>
      <c r="M94" t="s">
        <v>8</v>
      </c>
    </row>
    <row r="95" spans="1:13" x14ac:dyDescent="0.2">
      <c r="A95">
        <v>96</v>
      </c>
      <c r="B95" t="s">
        <v>2471</v>
      </c>
      <c r="C95">
        <v>1</v>
      </c>
      <c r="D95" t="s">
        <v>1942</v>
      </c>
      <c r="E95" t="s">
        <v>96</v>
      </c>
      <c r="F95" t="s">
        <v>1943</v>
      </c>
      <c r="G95" t="s">
        <v>2678</v>
      </c>
      <c r="H95" t="str">
        <f>_xlfn.IFNA(+VLOOKUP(G95,Agrupacion!A:B,2,0),"")</f>
        <v>AGRUPADOR 3</v>
      </c>
      <c r="I95" t="str">
        <f>_xlfn.IFNA(+VLOOKUP(G95,Agrupacion!A:C,3,0),"")</f>
        <v>CABA SUR II</v>
      </c>
      <c r="J95" t="s">
        <v>1944</v>
      </c>
      <c r="K95" t="s">
        <v>1945</v>
      </c>
      <c r="M95" t="s">
        <v>8</v>
      </c>
    </row>
    <row r="96" spans="1:13" x14ac:dyDescent="0.2">
      <c r="A96">
        <v>97</v>
      </c>
      <c r="B96" t="s">
        <v>2472</v>
      </c>
      <c r="C96">
        <v>1</v>
      </c>
      <c r="D96" t="s">
        <v>1946</v>
      </c>
      <c r="E96" t="s">
        <v>10</v>
      </c>
      <c r="F96" t="s">
        <v>1541</v>
      </c>
      <c r="G96" t="s">
        <v>170</v>
      </c>
      <c r="H96" t="str">
        <f>_xlfn.IFNA(+VLOOKUP(G96,Agrupacion!A:B,2,0),"")</f>
        <v>AGRUPADOR 2</v>
      </c>
      <c r="I96" t="str">
        <f>_xlfn.IFNA(+VLOOKUP(G96,Agrupacion!A:C,3,0),"")</f>
        <v>CABA SUR</v>
      </c>
      <c r="J96" t="s">
        <v>15</v>
      </c>
      <c r="K96" t="s">
        <v>1947</v>
      </c>
      <c r="M96" t="s">
        <v>8</v>
      </c>
    </row>
    <row r="97" spans="1:13" x14ac:dyDescent="0.2">
      <c r="A97">
        <v>98</v>
      </c>
      <c r="B97" t="s">
        <v>2473</v>
      </c>
      <c r="C97">
        <v>1</v>
      </c>
      <c r="D97" t="s">
        <v>1948</v>
      </c>
      <c r="E97" t="s">
        <v>10</v>
      </c>
      <c r="F97" t="s">
        <v>1923</v>
      </c>
      <c r="G97" t="s">
        <v>396</v>
      </c>
      <c r="H97" t="str">
        <f>_xlfn.IFNA(+VLOOKUP(G97,Agrupacion!A:B,2,0),"")</f>
        <v>AGRUPADOR 3</v>
      </c>
      <c r="I97" t="str">
        <f>_xlfn.IFNA(+VLOOKUP(G97,Agrupacion!A:C,3,0),"")</f>
        <v>CABA SUR II</v>
      </c>
      <c r="J97" t="s">
        <v>15</v>
      </c>
      <c r="M97" t="s">
        <v>8</v>
      </c>
    </row>
    <row r="98" spans="1:13" x14ac:dyDescent="0.2">
      <c r="A98">
        <v>99</v>
      </c>
      <c r="B98" t="s">
        <v>2474</v>
      </c>
      <c r="C98">
        <v>1</v>
      </c>
      <c r="D98" t="s">
        <v>1949</v>
      </c>
      <c r="E98" t="s">
        <v>10</v>
      </c>
      <c r="F98" t="s">
        <v>1950</v>
      </c>
      <c r="G98" t="s">
        <v>2699</v>
      </c>
      <c r="H98" t="str">
        <f>_xlfn.IFNA(+VLOOKUP(G98,Agrupacion!A:B,2,0),"")</f>
        <v>AGRUPADOR 2</v>
      </c>
      <c r="I98" t="str">
        <f>_xlfn.IFNA(+VLOOKUP(G98,Agrupacion!A:C,3,0),"")</f>
        <v>CABA SUR</v>
      </c>
      <c r="M98" t="s">
        <v>8</v>
      </c>
    </row>
    <row r="99" spans="1:13" x14ac:dyDescent="0.2">
      <c r="A99">
        <v>100</v>
      </c>
      <c r="B99" t="s">
        <v>2058</v>
      </c>
      <c r="C99">
        <v>1</v>
      </c>
      <c r="D99" t="s">
        <v>17</v>
      </c>
      <c r="E99" t="s">
        <v>10</v>
      </c>
      <c r="F99" t="s">
        <v>18</v>
      </c>
      <c r="G99" t="s">
        <v>396</v>
      </c>
      <c r="H99" t="str">
        <f>_xlfn.IFNA(+VLOOKUP(G99,Agrupacion!A:B,2,0),"")</f>
        <v>AGRUPADOR 3</v>
      </c>
      <c r="I99" t="str">
        <f>_xlfn.IFNA(+VLOOKUP(G99,Agrupacion!A:C,3,0),"")</f>
        <v>CABA SUR II</v>
      </c>
      <c r="J99" t="s">
        <v>15</v>
      </c>
      <c r="K99" t="s">
        <v>19</v>
      </c>
      <c r="M99" t="s">
        <v>8</v>
      </c>
    </row>
    <row r="100" spans="1:13" x14ac:dyDescent="0.2">
      <c r="A100">
        <v>101</v>
      </c>
      <c r="B100" t="s">
        <v>2475</v>
      </c>
      <c r="C100">
        <v>1</v>
      </c>
      <c r="D100" t="s">
        <v>20</v>
      </c>
      <c r="E100" t="s">
        <v>10</v>
      </c>
      <c r="F100" t="s">
        <v>21</v>
      </c>
      <c r="G100" t="s">
        <v>201</v>
      </c>
      <c r="H100" t="str">
        <f>_xlfn.IFNA(+VLOOKUP(G100,Agrupacion!A:B,2,0),"")</f>
        <v>AGRUPADOR 2</v>
      </c>
      <c r="I100" t="str">
        <f>_xlfn.IFNA(+VLOOKUP(G100,Agrupacion!A:C,3,0),"")</f>
        <v>CABA SUR</v>
      </c>
      <c r="J100" t="s">
        <v>22</v>
      </c>
      <c r="K100" t="s">
        <v>23</v>
      </c>
      <c r="M100" t="s">
        <v>8</v>
      </c>
    </row>
    <row r="101" spans="1:13" x14ac:dyDescent="0.2">
      <c r="A101">
        <v>102</v>
      </c>
      <c r="B101" t="s">
        <v>2476</v>
      </c>
      <c r="C101">
        <v>1</v>
      </c>
      <c r="D101" t="s">
        <v>27</v>
      </c>
      <c r="E101" t="s">
        <v>10</v>
      </c>
      <c r="F101" t="s">
        <v>28</v>
      </c>
      <c r="G101" t="s">
        <v>842</v>
      </c>
      <c r="H101" t="str">
        <f>_xlfn.IFNA(+VLOOKUP(G101,Agrupacion!A:B,2,0),"")</f>
        <v>AGRUPADOR 1</v>
      </c>
      <c r="I101" t="str">
        <f>_xlfn.IFNA(+VLOOKUP(G101,Agrupacion!A:C,3,0),"")</f>
        <v>CABA NORTE</v>
      </c>
      <c r="J101" t="s">
        <v>29</v>
      </c>
      <c r="M101" t="s">
        <v>8</v>
      </c>
    </row>
    <row r="102" spans="1:13" x14ac:dyDescent="0.2">
      <c r="A102">
        <v>103</v>
      </c>
      <c r="B102" t="s">
        <v>2477</v>
      </c>
      <c r="C102">
        <v>1</v>
      </c>
      <c r="D102" t="s">
        <v>30</v>
      </c>
      <c r="E102" t="s">
        <v>10</v>
      </c>
      <c r="F102" t="s">
        <v>31</v>
      </c>
      <c r="G102" t="s">
        <v>396</v>
      </c>
      <c r="H102" t="str">
        <f>_xlfn.IFNA(+VLOOKUP(G102,Agrupacion!A:B,2,0),"")</f>
        <v>AGRUPADOR 3</v>
      </c>
      <c r="I102" t="str">
        <f>_xlfn.IFNA(+VLOOKUP(G102,Agrupacion!A:C,3,0),"")</f>
        <v>CABA SUR II</v>
      </c>
      <c r="J102" t="s">
        <v>15</v>
      </c>
      <c r="K102" t="s">
        <v>32</v>
      </c>
      <c r="M102" t="s">
        <v>8</v>
      </c>
    </row>
    <row r="103" spans="1:13" x14ac:dyDescent="0.2">
      <c r="A103">
        <v>104</v>
      </c>
      <c r="B103" t="s">
        <v>2478</v>
      </c>
      <c r="C103">
        <v>1</v>
      </c>
      <c r="D103" t="s">
        <v>33</v>
      </c>
      <c r="F103" t="s">
        <v>34</v>
      </c>
      <c r="G103" t="s">
        <v>249</v>
      </c>
      <c r="H103" t="str">
        <f>_xlfn.IFNA(+VLOOKUP(G103,Agrupacion!A:B,2,0),"")</f>
        <v>AGRUPADOR 2</v>
      </c>
      <c r="I103" t="str">
        <f>_xlfn.IFNA(+VLOOKUP(G103,Agrupacion!A:C,3,0),"")</f>
        <v>CABA SUR</v>
      </c>
      <c r="J103" t="s">
        <v>15</v>
      </c>
      <c r="M103" t="s">
        <v>8</v>
      </c>
    </row>
    <row r="104" spans="1:13" x14ac:dyDescent="0.2">
      <c r="A104">
        <v>105</v>
      </c>
      <c r="B104" t="s">
        <v>2479</v>
      </c>
      <c r="C104">
        <v>1</v>
      </c>
      <c r="D104" t="s">
        <v>35</v>
      </c>
      <c r="F104" t="s">
        <v>36</v>
      </c>
      <c r="G104" t="s">
        <v>249</v>
      </c>
      <c r="H104" t="str">
        <f>_xlfn.IFNA(+VLOOKUP(G104,Agrupacion!A:B,2,0),"")</f>
        <v>AGRUPADOR 2</v>
      </c>
      <c r="I104" t="str">
        <f>_xlfn.IFNA(+VLOOKUP(G104,Agrupacion!A:C,3,0),"")</f>
        <v>CABA SUR</v>
      </c>
      <c r="J104" t="s">
        <v>15</v>
      </c>
      <c r="M104" t="s">
        <v>8</v>
      </c>
    </row>
    <row r="105" spans="1:13" x14ac:dyDescent="0.2">
      <c r="A105">
        <v>106</v>
      </c>
      <c r="B105" t="s">
        <v>2480</v>
      </c>
      <c r="C105">
        <v>1</v>
      </c>
      <c r="D105" t="s">
        <v>37</v>
      </c>
      <c r="E105" t="s">
        <v>10</v>
      </c>
      <c r="F105" t="s">
        <v>38</v>
      </c>
      <c r="G105" t="s">
        <v>396</v>
      </c>
      <c r="H105" t="str">
        <f>_xlfn.IFNA(+VLOOKUP(G105,Agrupacion!A:B,2,0),"")</f>
        <v>AGRUPADOR 3</v>
      </c>
      <c r="I105" t="str">
        <f>_xlfn.IFNA(+VLOOKUP(G105,Agrupacion!A:C,3,0),"")</f>
        <v>CABA SUR II</v>
      </c>
      <c r="J105" t="s">
        <v>15</v>
      </c>
      <c r="K105" t="s">
        <v>39</v>
      </c>
      <c r="M105" t="s">
        <v>8</v>
      </c>
    </row>
    <row r="106" spans="1:13" x14ac:dyDescent="0.2">
      <c r="A106">
        <v>107</v>
      </c>
      <c r="B106" t="s">
        <v>2481</v>
      </c>
      <c r="C106">
        <v>1</v>
      </c>
      <c r="D106" t="s">
        <v>40</v>
      </c>
      <c r="F106" t="s">
        <v>41</v>
      </c>
      <c r="G106" t="s">
        <v>249</v>
      </c>
      <c r="H106" t="str">
        <f>_xlfn.IFNA(+VLOOKUP(G106,Agrupacion!A:B,2,0),"")</f>
        <v>AGRUPADOR 2</v>
      </c>
      <c r="I106" t="str">
        <f>_xlfn.IFNA(+VLOOKUP(G106,Agrupacion!A:C,3,0),"")</f>
        <v>CABA SUR</v>
      </c>
      <c r="J106" t="s">
        <v>15</v>
      </c>
      <c r="K106" t="s">
        <v>42</v>
      </c>
      <c r="M106" t="s">
        <v>8</v>
      </c>
    </row>
    <row r="107" spans="1:13" x14ac:dyDescent="0.2">
      <c r="A107">
        <v>108</v>
      </c>
      <c r="B107" t="s">
        <v>2482</v>
      </c>
      <c r="C107">
        <v>1</v>
      </c>
      <c r="D107" t="s">
        <v>43</v>
      </c>
      <c r="E107" t="s">
        <v>10</v>
      </c>
      <c r="F107" t="s">
        <v>44</v>
      </c>
      <c r="G107" t="s">
        <v>396</v>
      </c>
      <c r="H107" t="str">
        <f>_xlfn.IFNA(+VLOOKUP(G107,Agrupacion!A:B,2,0),"")</f>
        <v>AGRUPADOR 3</v>
      </c>
      <c r="I107" t="str">
        <f>_xlfn.IFNA(+VLOOKUP(G107,Agrupacion!A:C,3,0),"")</f>
        <v>CABA SUR II</v>
      </c>
      <c r="J107" t="s">
        <v>15</v>
      </c>
      <c r="K107" t="s">
        <v>45</v>
      </c>
      <c r="M107" t="s">
        <v>8</v>
      </c>
    </row>
    <row r="108" spans="1:13" x14ac:dyDescent="0.2">
      <c r="A108">
        <v>108</v>
      </c>
      <c r="B108" t="s">
        <v>2482</v>
      </c>
      <c r="C108">
        <v>1</v>
      </c>
      <c r="D108" t="s">
        <v>46</v>
      </c>
      <c r="F108" t="s">
        <v>47</v>
      </c>
      <c r="G108" t="s">
        <v>48</v>
      </c>
      <c r="H108" t="str">
        <f>_xlfn.IFNA(+VLOOKUP(G108,Agrupacion!A:B,2,0),"")</f>
        <v>AGRUPADOR 2</v>
      </c>
      <c r="I108" t="str">
        <f>_xlfn.IFNA(+VLOOKUP(G108,Agrupacion!A:C,3,0),"")</f>
        <v>CABA SUR</v>
      </c>
      <c r="J108" t="s">
        <v>15</v>
      </c>
      <c r="M108" t="s">
        <v>8</v>
      </c>
    </row>
    <row r="109" spans="1:13" x14ac:dyDescent="0.2">
      <c r="A109">
        <v>109</v>
      </c>
      <c r="B109" t="s">
        <v>2483</v>
      </c>
      <c r="C109">
        <v>1</v>
      </c>
      <c r="D109" t="s">
        <v>49</v>
      </c>
      <c r="E109" t="s">
        <v>10</v>
      </c>
      <c r="F109" t="s">
        <v>50</v>
      </c>
      <c r="G109" t="s">
        <v>2697</v>
      </c>
      <c r="H109" t="str">
        <f>_xlfn.IFNA(+VLOOKUP(G109,Agrupacion!A:B,2,0),"")</f>
        <v>AGRUPADOR 3</v>
      </c>
      <c r="I109" t="str">
        <f>_xlfn.IFNA(+VLOOKUP(G109,Agrupacion!A:C,3,0),"")</f>
        <v>CABA SUR II</v>
      </c>
      <c r="M109" t="s">
        <v>8</v>
      </c>
    </row>
    <row r="110" spans="1:13" x14ac:dyDescent="0.2">
      <c r="A110">
        <v>110</v>
      </c>
      <c r="B110" t="s">
        <v>2484</v>
      </c>
      <c r="C110">
        <v>1</v>
      </c>
      <c r="D110" t="s">
        <v>54</v>
      </c>
      <c r="E110" t="s">
        <v>10</v>
      </c>
      <c r="F110" t="s">
        <v>55</v>
      </c>
      <c r="G110" t="s">
        <v>1192</v>
      </c>
      <c r="H110" t="str">
        <f>_xlfn.IFNA(+VLOOKUP(G110,Agrupacion!A:B,2,0),"")</f>
        <v>AGRUPADOR 3</v>
      </c>
      <c r="I110" t="str">
        <f>_xlfn.IFNA(+VLOOKUP(G110,Agrupacion!A:C,3,0),"")</f>
        <v>CABA SUR II</v>
      </c>
      <c r="K110" t="s">
        <v>56</v>
      </c>
      <c r="L110" t="s">
        <v>57</v>
      </c>
      <c r="M110" t="s">
        <v>8</v>
      </c>
    </row>
    <row r="111" spans="1:13" x14ac:dyDescent="0.2">
      <c r="A111">
        <v>111</v>
      </c>
      <c r="B111" t="s">
        <v>2485</v>
      </c>
      <c r="C111">
        <v>1</v>
      </c>
      <c r="D111" t="s">
        <v>58</v>
      </c>
      <c r="E111" t="s">
        <v>10</v>
      </c>
      <c r="F111" t="s">
        <v>59</v>
      </c>
      <c r="G111" t="s">
        <v>396</v>
      </c>
      <c r="H111" t="str">
        <f>_xlfn.IFNA(+VLOOKUP(G111,Agrupacion!A:B,2,0),"")</f>
        <v>AGRUPADOR 3</v>
      </c>
      <c r="I111" t="str">
        <f>_xlfn.IFNA(+VLOOKUP(G111,Agrupacion!A:C,3,0),"")</f>
        <v>CABA SUR II</v>
      </c>
      <c r="J111" t="s">
        <v>15</v>
      </c>
      <c r="M111" t="s">
        <v>8</v>
      </c>
    </row>
    <row r="112" spans="1:13" x14ac:dyDescent="0.2">
      <c r="A112">
        <v>112</v>
      </c>
      <c r="B112" t="s">
        <v>2486</v>
      </c>
      <c r="C112">
        <v>1</v>
      </c>
      <c r="D112" t="s">
        <v>60</v>
      </c>
      <c r="E112" t="s">
        <v>10</v>
      </c>
      <c r="F112" t="s">
        <v>61</v>
      </c>
      <c r="G112" t="s">
        <v>2697</v>
      </c>
      <c r="H112" t="str">
        <f>_xlfn.IFNA(+VLOOKUP(G112,Agrupacion!A:B,2,0),"")</f>
        <v>AGRUPADOR 3</v>
      </c>
      <c r="I112" t="str">
        <f>_xlfn.IFNA(+VLOOKUP(G112,Agrupacion!A:C,3,0),"")</f>
        <v>CABA SUR II</v>
      </c>
      <c r="J112" t="s">
        <v>62</v>
      </c>
      <c r="K112" t="s">
        <v>63</v>
      </c>
      <c r="M112" t="s">
        <v>8</v>
      </c>
    </row>
    <row r="113" spans="1:13" x14ac:dyDescent="0.2">
      <c r="A113">
        <v>113</v>
      </c>
      <c r="B113" t="s">
        <v>2487</v>
      </c>
      <c r="C113">
        <v>1</v>
      </c>
      <c r="D113" t="s">
        <v>64</v>
      </c>
      <c r="E113" t="s">
        <v>10</v>
      </c>
      <c r="F113" t="s">
        <v>65</v>
      </c>
      <c r="G113" t="s">
        <v>396</v>
      </c>
      <c r="H113" t="str">
        <f>_xlfn.IFNA(+VLOOKUP(G113,Agrupacion!A:B,2,0),"")</f>
        <v>AGRUPADOR 3</v>
      </c>
      <c r="I113" t="str">
        <f>_xlfn.IFNA(+VLOOKUP(G113,Agrupacion!A:C,3,0),"")</f>
        <v>CABA SUR II</v>
      </c>
      <c r="J113" t="s">
        <v>15</v>
      </c>
      <c r="K113" t="s">
        <v>66</v>
      </c>
      <c r="M113" t="s">
        <v>8</v>
      </c>
    </row>
    <row r="114" spans="1:13" x14ac:dyDescent="0.2">
      <c r="A114">
        <v>114</v>
      </c>
      <c r="B114" t="s">
        <v>2488</v>
      </c>
      <c r="C114">
        <v>1</v>
      </c>
      <c r="D114" t="s">
        <v>67</v>
      </c>
      <c r="E114" t="s">
        <v>10</v>
      </c>
      <c r="F114" t="s">
        <v>68</v>
      </c>
      <c r="G114" t="s">
        <v>2699</v>
      </c>
      <c r="H114" t="str">
        <f>_xlfn.IFNA(+VLOOKUP(G114,Agrupacion!A:B,2,0),"")</f>
        <v>AGRUPADOR 2</v>
      </c>
      <c r="I114" t="str">
        <f>_xlfn.IFNA(+VLOOKUP(G114,Agrupacion!A:C,3,0),"")</f>
        <v>CABA SUR</v>
      </c>
      <c r="J114" t="s">
        <v>69</v>
      </c>
      <c r="K114" t="s">
        <v>70</v>
      </c>
      <c r="L114" t="s">
        <v>71</v>
      </c>
      <c r="M114" t="s">
        <v>8</v>
      </c>
    </row>
    <row r="115" spans="1:13" x14ac:dyDescent="0.2">
      <c r="A115">
        <v>115</v>
      </c>
      <c r="B115" t="s">
        <v>2489</v>
      </c>
      <c r="C115">
        <v>1</v>
      </c>
      <c r="D115" t="s">
        <v>72</v>
      </c>
      <c r="E115" t="s">
        <v>10</v>
      </c>
      <c r="F115" t="s">
        <v>73</v>
      </c>
      <c r="G115" t="s">
        <v>396</v>
      </c>
      <c r="H115" t="str">
        <f>_xlfn.IFNA(+VLOOKUP(G115,Agrupacion!A:B,2,0),"")</f>
        <v>AGRUPADOR 3</v>
      </c>
      <c r="I115" t="str">
        <f>_xlfn.IFNA(+VLOOKUP(G115,Agrupacion!A:C,3,0),"")</f>
        <v>CABA SUR II</v>
      </c>
      <c r="J115" t="s">
        <v>15</v>
      </c>
      <c r="M115" t="s">
        <v>8</v>
      </c>
    </row>
    <row r="116" spans="1:13" x14ac:dyDescent="0.2">
      <c r="A116">
        <v>116</v>
      </c>
      <c r="B116" t="s">
        <v>2490</v>
      </c>
      <c r="C116">
        <v>1</v>
      </c>
      <c r="D116" t="s">
        <v>74</v>
      </c>
      <c r="E116" t="s">
        <v>10</v>
      </c>
      <c r="F116" t="s">
        <v>75</v>
      </c>
      <c r="G116" t="s">
        <v>396</v>
      </c>
      <c r="H116" t="str">
        <f>_xlfn.IFNA(+VLOOKUP(G116,Agrupacion!A:B,2,0),"")</f>
        <v>AGRUPADOR 3</v>
      </c>
      <c r="I116" t="str">
        <f>_xlfn.IFNA(+VLOOKUP(G116,Agrupacion!A:C,3,0),"")</f>
        <v>CABA SUR II</v>
      </c>
      <c r="J116" t="s">
        <v>76</v>
      </c>
      <c r="K116" t="s">
        <v>77</v>
      </c>
      <c r="M116" t="s">
        <v>8</v>
      </c>
    </row>
    <row r="117" spans="1:13" x14ac:dyDescent="0.2">
      <c r="A117">
        <v>117</v>
      </c>
      <c r="B117" t="s">
        <v>2491</v>
      </c>
      <c r="C117">
        <v>1</v>
      </c>
      <c r="D117" t="s">
        <v>78</v>
      </c>
      <c r="E117" t="s">
        <v>10</v>
      </c>
      <c r="F117" t="s">
        <v>79</v>
      </c>
      <c r="G117" t="s">
        <v>2697</v>
      </c>
      <c r="H117" t="str">
        <f>_xlfn.IFNA(+VLOOKUP(G117,Agrupacion!A:B,2,0),"")</f>
        <v>AGRUPADOR 3</v>
      </c>
      <c r="I117" t="str">
        <f>_xlfn.IFNA(+VLOOKUP(G117,Agrupacion!A:C,3,0),"")</f>
        <v>CABA SUR II</v>
      </c>
      <c r="M117" t="s">
        <v>8</v>
      </c>
    </row>
    <row r="118" spans="1:13" x14ac:dyDescent="0.2">
      <c r="A118">
        <v>120</v>
      </c>
      <c r="B118" t="s">
        <v>2492</v>
      </c>
      <c r="C118">
        <v>1</v>
      </c>
      <c r="D118" t="s">
        <v>83</v>
      </c>
      <c r="E118" t="s">
        <v>10</v>
      </c>
      <c r="F118" t="s">
        <v>84</v>
      </c>
      <c r="G118" t="s">
        <v>108</v>
      </c>
      <c r="H118" t="str">
        <f>_xlfn.IFNA(+VLOOKUP(G118,Agrupacion!A:B,2,0),"")</f>
        <v>AGRUPADOR 1</v>
      </c>
      <c r="I118" t="str">
        <f>_xlfn.IFNA(+VLOOKUP(G118,Agrupacion!A:C,3,0),"")</f>
        <v>CABA NORTE</v>
      </c>
      <c r="M118" t="s">
        <v>8</v>
      </c>
    </row>
    <row r="119" spans="1:13" x14ac:dyDescent="0.2">
      <c r="A119">
        <v>121</v>
      </c>
      <c r="B119" t="s">
        <v>2493</v>
      </c>
      <c r="C119">
        <v>1</v>
      </c>
      <c r="D119" t="s">
        <v>85</v>
      </c>
      <c r="E119" t="s">
        <v>10</v>
      </c>
      <c r="F119" t="s">
        <v>86</v>
      </c>
      <c r="G119" t="s">
        <v>396</v>
      </c>
      <c r="H119" t="str">
        <f>_xlfn.IFNA(+VLOOKUP(G119,Agrupacion!A:B,2,0),"")</f>
        <v>AGRUPADOR 3</v>
      </c>
      <c r="I119" t="str">
        <f>_xlfn.IFNA(+VLOOKUP(G119,Agrupacion!A:C,3,0),"")</f>
        <v>CABA SUR II</v>
      </c>
      <c r="K119" t="s">
        <v>87</v>
      </c>
      <c r="M119" t="s">
        <v>8</v>
      </c>
    </row>
    <row r="120" spans="1:13" x14ac:dyDescent="0.2">
      <c r="A120">
        <v>122</v>
      </c>
      <c r="B120" t="s">
        <v>2494</v>
      </c>
      <c r="C120">
        <v>1</v>
      </c>
      <c r="D120" t="s">
        <v>88</v>
      </c>
      <c r="F120" t="s">
        <v>89</v>
      </c>
      <c r="G120" t="s">
        <v>249</v>
      </c>
      <c r="H120" t="str">
        <f>_xlfn.IFNA(+VLOOKUP(G120,Agrupacion!A:B,2,0),"")</f>
        <v>AGRUPADOR 2</v>
      </c>
      <c r="I120" t="str">
        <f>_xlfn.IFNA(+VLOOKUP(G120,Agrupacion!A:C,3,0),"")</f>
        <v>CABA SUR</v>
      </c>
      <c r="M120" t="s">
        <v>8</v>
      </c>
    </row>
    <row r="121" spans="1:13" x14ac:dyDescent="0.2">
      <c r="A121">
        <v>123</v>
      </c>
      <c r="B121" t="s">
        <v>2495</v>
      </c>
      <c r="C121">
        <v>1</v>
      </c>
      <c r="D121" t="s">
        <v>90</v>
      </c>
      <c r="E121" t="s">
        <v>10</v>
      </c>
      <c r="F121" t="s">
        <v>91</v>
      </c>
      <c r="G121" t="s">
        <v>396</v>
      </c>
      <c r="H121" t="str">
        <f>_xlfn.IFNA(+VLOOKUP(G121,Agrupacion!A:B,2,0),"")</f>
        <v>AGRUPADOR 3</v>
      </c>
      <c r="I121" t="str">
        <f>_xlfn.IFNA(+VLOOKUP(G121,Agrupacion!A:C,3,0),"")</f>
        <v>CABA SUR II</v>
      </c>
      <c r="J121" t="s">
        <v>15</v>
      </c>
      <c r="K121" t="s">
        <v>92</v>
      </c>
      <c r="M121" t="s">
        <v>8</v>
      </c>
    </row>
    <row r="122" spans="1:13" x14ac:dyDescent="0.2">
      <c r="A122">
        <v>124</v>
      </c>
      <c r="B122" t="s">
        <v>2496</v>
      </c>
      <c r="C122">
        <v>1</v>
      </c>
      <c r="D122" t="s">
        <v>93</v>
      </c>
      <c r="E122" t="s">
        <v>10</v>
      </c>
      <c r="F122" t="s">
        <v>94</v>
      </c>
      <c r="G122" t="s">
        <v>201</v>
      </c>
      <c r="H122" t="str">
        <f>_xlfn.IFNA(+VLOOKUP(G122,Agrupacion!A:B,2,0),"")</f>
        <v>AGRUPADOR 2</v>
      </c>
      <c r="I122" t="str">
        <f>_xlfn.IFNA(+VLOOKUP(G122,Agrupacion!A:C,3,0),"")</f>
        <v>CABA SUR</v>
      </c>
      <c r="J122" t="s">
        <v>22</v>
      </c>
      <c r="M122" t="s">
        <v>8</v>
      </c>
    </row>
    <row r="123" spans="1:13" x14ac:dyDescent="0.2">
      <c r="A123">
        <v>125</v>
      </c>
      <c r="B123" t="s">
        <v>2497</v>
      </c>
      <c r="C123">
        <v>1</v>
      </c>
      <c r="D123" t="s">
        <v>95</v>
      </c>
      <c r="E123" t="s">
        <v>96</v>
      </c>
      <c r="F123" t="s">
        <v>97</v>
      </c>
      <c r="G123" t="s">
        <v>98</v>
      </c>
      <c r="H123" t="str">
        <f>_xlfn.IFNA(+VLOOKUP(G123,Agrupacion!A:B,2,0),"")</f>
        <v>AGRUPADOR 4</v>
      </c>
      <c r="I123" t="str">
        <f>_xlfn.IFNA(+VLOOKUP(G123,Agrupacion!A:C,3,0),"")</f>
        <v>GBA SUR</v>
      </c>
      <c r="J123" t="s">
        <v>99</v>
      </c>
      <c r="K123" t="s">
        <v>100</v>
      </c>
      <c r="M123" t="s">
        <v>8</v>
      </c>
    </row>
    <row r="124" spans="1:13" x14ac:dyDescent="0.2">
      <c r="A124">
        <v>126</v>
      </c>
      <c r="B124" t="s">
        <v>2498</v>
      </c>
      <c r="C124">
        <v>1</v>
      </c>
      <c r="D124" t="s">
        <v>101</v>
      </c>
      <c r="F124" t="s">
        <v>102</v>
      </c>
      <c r="G124" t="s">
        <v>170</v>
      </c>
      <c r="H124" t="str">
        <f>_xlfn.IFNA(+VLOOKUP(G124,Agrupacion!A:B,2,0),"")</f>
        <v>AGRUPADOR 2</v>
      </c>
      <c r="I124" t="str">
        <f>_xlfn.IFNA(+VLOOKUP(G124,Agrupacion!A:C,3,0),"")</f>
        <v>CABA SUR</v>
      </c>
      <c r="M124" t="s">
        <v>8</v>
      </c>
    </row>
    <row r="125" spans="1:13" x14ac:dyDescent="0.2">
      <c r="A125">
        <v>127</v>
      </c>
      <c r="B125" t="s">
        <v>2499</v>
      </c>
      <c r="C125">
        <v>1</v>
      </c>
      <c r="D125" t="s">
        <v>103</v>
      </c>
      <c r="E125" t="s">
        <v>10</v>
      </c>
      <c r="F125" t="s">
        <v>104</v>
      </c>
      <c r="G125" t="s">
        <v>396</v>
      </c>
      <c r="H125" t="str">
        <f>_xlfn.IFNA(+VLOOKUP(G125,Agrupacion!A:B,2,0),"")</f>
        <v>AGRUPADOR 3</v>
      </c>
      <c r="I125" t="str">
        <f>_xlfn.IFNA(+VLOOKUP(G125,Agrupacion!A:C,3,0),"")</f>
        <v>CABA SUR II</v>
      </c>
      <c r="J125" t="s">
        <v>15</v>
      </c>
      <c r="K125" t="s">
        <v>105</v>
      </c>
      <c r="M125" t="s">
        <v>8</v>
      </c>
    </row>
    <row r="126" spans="1:13" x14ac:dyDescent="0.2">
      <c r="A126">
        <v>128</v>
      </c>
      <c r="B126" t="s">
        <v>2500</v>
      </c>
      <c r="C126">
        <v>1</v>
      </c>
      <c r="D126" t="s">
        <v>106</v>
      </c>
      <c r="F126" t="s">
        <v>107</v>
      </c>
      <c r="G126" t="s">
        <v>108</v>
      </c>
      <c r="H126" t="str">
        <f>_xlfn.IFNA(+VLOOKUP(G126,Agrupacion!A:B,2,0),"")</f>
        <v>AGRUPADOR 1</v>
      </c>
      <c r="I126" t="str">
        <f>_xlfn.IFNA(+VLOOKUP(G126,Agrupacion!A:C,3,0),"")</f>
        <v>CABA NORTE</v>
      </c>
      <c r="J126" t="s">
        <v>109</v>
      </c>
      <c r="M126" t="s">
        <v>8</v>
      </c>
    </row>
    <row r="127" spans="1:13" x14ac:dyDescent="0.2">
      <c r="A127">
        <v>129</v>
      </c>
      <c r="B127" t="s">
        <v>2264</v>
      </c>
      <c r="C127">
        <v>1</v>
      </c>
      <c r="D127" t="s">
        <v>110</v>
      </c>
      <c r="E127" t="s">
        <v>10</v>
      </c>
      <c r="F127" t="s">
        <v>111</v>
      </c>
      <c r="G127" t="s">
        <v>396</v>
      </c>
      <c r="H127" t="str">
        <f>_xlfn.IFNA(+VLOOKUP(G127,Agrupacion!A:B,2,0),"")</f>
        <v>AGRUPADOR 3</v>
      </c>
      <c r="I127" t="str">
        <f>_xlfn.IFNA(+VLOOKUP(G127,Agrupacion!A:C,3,0),"")</f>
        <v>CABA SUR II</v>
      </c>
      <c r="J127" t="s">
        <v>15</v>
      </c>
      <c r="K127" t="s">
        <v>112</v>
      </c>
      <c r="M127" t="s">
        <v>8</v>
      </c>
    </row>
    <row r="128" spans="1:13" x14ac:dyDescent="0.2">
      <c r="A128">
        <v>130</v>
      </c>
      <c r="B128" t="s">
        <v>2501</v>
      </c>
      <c r="C128">
        <v>1</v>
      </c>
      <c r="D128" t="s">
        <v>116</v>
      </c>
      <c r="F128" t="s">
        <v>117</v>
      </c>
      <c r="G128" t="s">
        <v>396</v>
      </c>
      <c r="H128" t="str">
        <f>_xlfn.IFNA(+VLOOKUP(G128,Agrupacion!A:B,2,0),"")</f>
        <v>AGRUPADOR 3</v>
      </c>
      <c r="I128" t="str">
        <f>_xlfn.IFNA(+VLOOKUP(G128,Agrupacion!A:C,3,0),"")</f>
        <v>CABA SUR II</v>
      </c>
      <c r="J128" t="s">
        <v>118</v>
      </c>
      <c r="M128" t="s">
        <v>8</v>
      </c>
    </row>
    <row r="129" spans="1:13" x14ac:dyDescent="0.2">
      <c r="A129">
        <v>131</v>
      </c>
      <c r="B129" t="s">
        <v>2502</v>
      </c>
      <c r="C129">
        <v>1</v>
      </c>
      <c r="D129" t="s">
        <v>119</v>
      </c>
      <c r="E129" t="s">
        <v>10</v>
      </c>
      <c r="F129" t="s">
        <v>120</v>
      </c>
      <c r="G129" t="s">
        <v>249</v>
      </c>
      <c r="H129" t="str">
        <f>_xlfn.IFNA(+VLOOKUP(G129,Agrupacion!A:B,2,0),"")</f>
        <v>AGRUPADOR 2</v>
      </c>
      <c r="I129" t="str">
        <f>_xlfn.IFNA(+VLOOKUP(G129,Agrupacion!A:C,3,0),"")</f>
        <v>CABA SUR</v>
      </c>
      <c r="M129" t="s">
        <v>8</v>
      </c>
    </row>
    <row r="130" spans="1:13" x14ac:dyDescent="0.2">
      <c r="A130">
        <v>132</v>
      </c>
      <c r="B130" t="s">
        <v>2503</v>
      </c>
      <c r="C130">
        <v>1</v>
      </c>
      <c r="D130" t="s">
        <v>121</v>
      </c>
      <c r="F130" t="s">
        <v>122</v>
      </c>
      <c r="G130" t="s">
        <v>249</v>
      </c>
      <c r="H130" t="str">
        <f>_xlfn.IFNA(+VLOOKUP(G130,Agrupacion!A:B,2,0),"")</f>
        <v>AGRUPADOR 2</v>
      </c>
      <c r="I130" t="str">
        <f>_xlfn.IFNA(+VLOOKUP(G130,Agrupacion!A:C,3,0),"")</f>
        <v>CABA SUR</v>
      </c>
      <c r="J130" t="s">
        <v>15</v>
      </c>
      <c r="K130" t="s">
        <v>123</v>
      </c>
      <c r="M130" t="s">
        <v>8</v>
      </c>
    </row>
    <row r="131" spans="1:13" x14ac:dyDescent="0.2">
      <c r="A131">
        <v>133</v>
      </c>
      <c r="B131" t="s">
        <v>2504</v>
      </c>
      <c r="C131">
        <v>1</v>
      </c>
      <c r="D131" t="s">
        <v>124</v>
      </c>
      <c r="F131" t="s">
        <v>125</v>
      </c>
      <c r="G131" t="s">
        <v>249</v>
      </c>
      <c r="H131" t="str">
        <f>_xlfn.IFNA(+VLOOKUP(G131,Agrupacion!A:B,2,0),"")</f>
        <v>AGRUPADOR 2</v>
      </c>
      <c r="I131" t="str">
        <f>_xlfn.IFNA(+VLOOKUP(G131,Agrupacion!A:C,3,0),"")</f>
        <v>CABA SUR</v>
      </c>
      <c r="J131" t="s">
        <v>15</v>
      </c>
      <c r="M131" t="s">
        <v>8</v>
      </c>
    </row>
    <row r="132" spans="1:13" x14ac:dyDescent="0.2">
      <c r="A132">
        <v>134</v>
      </c>
      <c r="B132" t="s">
        <v>2505</v>
      </c>
      <c r="C132">
        <v>1</v>
      </c>
      <c r="D132" t="s">
        <v>126</v>
      </c>
      <c r="E132" t="s">
        <v>10</v>
      </c>
      <c r="F132" t="s">
        <v>127</v>
      </c>
      <c r="G132" t="s">
        <v>396</v>
      </c>
      <c r="H132" t="str">
        <f>_xlfn.IFNA(+VLOOKUP(G132,Agrupacion!A:B,2,0),"")</f>
        <v>AGRUPADOR 3</v>
      </c>
      <c r="I132" t="str">
        <f>_xlfn.IFNA(+VLOOKUP(G132,Agrupacion!A:C,3,0),"")</f>
        <v>CABA SUR II</v>
      </c>
      <c r="J132" t="s">
        <v>15</v>
      </c>
      <c r="K132" t="s">
        <v>128</v>
      </c>
      <c r="L132" t="s">
        <v>129</v>
      </c>
      <c r="M132" t="s">
        <v>8</v>
      </c>
    </row>
    <row r="133" spans="1:13" x14ac:dyDescent="0.2">
      <c r="A133">
        <v>135</v>
      </c>
      <c r="B133" t="s">
        <v>2506</v>
      </c>
      <c r="C133">
        <v>1</v>
      </c>
      <c r="D133" t="s">
        <v>130</v>
      </c>
      <c r="E133" t="s">
        <v>10</v>
      </c>
      <c r="F133" t="s">
        <v>131</v>
      </c>
      <c r="G133" t="s">
        <v>466</v>
      </c>
      <c r="H133" t="str">
        <f>_xlfn.IFNA(+VLOOKUP(G133,Agrupacion!A:B,2,0),"")</f>
        <v>AGRUPADOR 1</v>
      </c>
      <c r="I133" t="str">
        <f>_xlfn.IFNA(+VLOOKUP(G133,Agrupacion!A:C,3,0),"")</f>
        <v>CABA NORTE</v>
      </c>
      <c r="J133" t="s">
        <v>132</v>
      </c>
      <c r="K133" t="s">
        <v>133</v>
      </c>
      <c r="M133" t="s">
        <v>8</v>
      </c>
    </row>
    <row r="134" spans="1:13" x14ac:dyDescent="0.2">
      <c r="A134">
        <v>136</v>
      </c>
      <c r="B134" t="s">
        <v>2507</v>
      </c>
      <c r="C134">
        <v>1</v>
      </c>
      <c r="D134" t="s">
        <v>134</v>
      </c>
      <c r="E134" t="s">
        <v>10</v>
      </c>
      <c r="F134" t="s">
        <v>135</v>
      </c>
      <c r="G134" t="s">
        <v>396</v>
      </c>
      <c r="H134" t="str">
        <f>_xlfn.IFNA(+VLOOKUP(G134,Agrupacion!A:B,2,0),"")</f>
        <v>AGRUPADOR 3</v>
      </c>
      <c r="I134" t="str">
        <f>_xlfn.IFNA(+VLOOKUP(G134,Agrupacion!A:C,3,0),"")</f>
        <v>CABA SUR II</v>
      </c>
      <c r="J134" t="s">
        <v>15</v>
      </c>
      <c r="K134" t="s">
        <v>136</v>
      </c>
      <c r="M134" t="s">
        <v>8</v>
      </c>
    </row>
    <row r="135" spans="1:13" x14ac:dyDescent="0.2">
      <c r="A135">
        <v>137</v>
      </c>
      <c r="B135" t="s">
        <v>2508</v>
      </c>
      <c r="C135">
        <v>1</v>
      </c>
      <c r="D135" t="s">
        <v>137</v>
      </c>
      <c r="E135" t="s">
        <v>10</v>
      </c>
      <c r="F135" t="s">
        <v>138</v>
      </c>
      <c r="G135" t="s">
        <v>201</v>
      </c>
      <c r="H135" t="str">
        <f>_xlfn.IFNA(+VLOOKUP(G135,Agrupacion!A:B,2,0),"")</f>
        <v>AGRUPADOR 2</v>
      </c>
      <c r="I135" t="str">
        <f>_xlfn.IFNA(+VLOOKUP(G135,Agrupacion!A:C,3,0),"")</f>
        <v>CABA SUR</v>
      </c>
      <c r="K135" t="s">
        <v>139</v>
      </c>
      <c r="M135" t="s">
        <v>8</v>
      </c>
    </row>
    <row r="136" spans="1:13" x14ac:dyDescent="0.2">
      <c r="A136">
        <v>138</v>
      </c>
      <c r="B136" t="s">
        <v>2509</v>
      </c>
      <c r="C136">
        <v>1</v>
      </c>
      <c r="D136" t="s">
        <v>140</v>
      </c>
      <c r="E136" t="s">
        <v>10</v>
      </c>
      <c r="F136" t="s">
        <v>141</v>
      </c>
      <c r="G136" t="s">
        <v>249</v>
      </c>
      <c r="H136" t="str">
        <f>_xlfn.IFNA(+VLOOKUP(G136,Agrupacion!A:B,2,0),"")</f>
        <v>AGRUPADOR 2</v>
      </c>
      <c r="I136" t="str">
        <f>_xlfn.IFNA(+VLOOKUP(G136,Agrupacion!A:C,3,0),"")</f>
        <v>CABA SUR</v>
      </c>
      <c r="J136" t="s">
        <v>115</v>
      </c>
      <c r="K136" t="s">
        <v>142</v>
      </c>
      <c r="M136" t="s">
        <v>8</v>
      </c>
    </row>
    <row r="137" spans="1:13" x14ac:dyDescent="0.2">
      <c r="A137">
        <v>139</v>
      </c>
      <c r="B137" t="s">
        <v>2510</v>
      </c>
      <c r="C137">
        <v>1</v>
      </c>
      <c r="D137" t="s">
        <v>143</v>
      </c>
      <c r="F137" t="s">
        <v>144</v>
      </c>
      <c r="G137" t="s">
        <v>249</v>
      </c>
      <c r="H137" t="str">
        <f>_xlfn.IFNA(+VLOOKUP(G137,Agrupacion!A:B,2,0),"")</f>
        <v>AGRUPADOR 2</v>
      </c>
      <c r="I137" t="str">
        <f>_xlfn.IFNA(+VLOOKUP(G137,Agrupacion!A:C,3,0),"")</f>
        <v>CABA SUR</v>
      </c>
      <c r="J137" t="s">
        <v>15</v>
      </c>
      <c r="M137" t="s">
        <v>8</v>
      </c>
    </row>
    <row r="138" spans="1:13" x14ac:dyDescent="0.2">
      <c r="A138">
        <v>140</v>
      </c>
      <c r="B138" t="s">
        <v>2511</v>
      </c>
      <c r="C138">
        <v>1</v>
      </c>
      <c r="D138" t="s">
        <v>150</v>
      </c>
      <c r="E138" t="s">
        <v>10</v>
      </c>
      <c r="F138" t="s">
        <v>151</v>
      </c>
      <c r="G138" t="s">
        <v>249</v>
      </c>
      <c r="H138" t="str">
        <f>_xlfn.IFNA(+VLOOKUP(G138,Agrupacion!A:B,2,0),"")</f>
        <v>AGRUPADOR 2</v>
      </c>
      <c r="I138" t="str">
        <f>_xlfn.IFNA(+VLOOKUP(G138,Agrupacion!A:C,3,0),"")</f>
        <v>CABA SUR</v>
      </c>
      <c r="J138" t="s">
        <v>115</v>
      </c>
      <c r="K138" t="s">
        <v>152</v>
      </c>
      <c r="M138" t="s">
        <v>8</v>
      </c>
    </row>
    <row r="139" spans="1:13" x14ac:dyDescent="0.2">
      <c r="A139">
        <v>141</v>
      </c>
      <c r="B139" t="s">
        <v>2512</v>
      </c>
      <c r="C139">
        <v>1</v>
      </c>
      <c r="D139" t="s">
        <v>153</v>
      </c>
      <c r="E139" t="s">
        <v>96</v>
      </c>
      <c r="F139" t="s">
        <v>154</v>
      </c>
      <c r="G139" t="s">
        <v>155</v>
      </c>
      <c r="H139" t="str">
        <f>_xlfn.IFNA(+VLOOKUP(G139,Agrupacion!A:B,2,0),"")</f>
        <v>AGRUPADOR 4</v>
      </c>
      <c r="I139" t="str">
        <f>_xlfn.IFNA(+VLOOKUP(G139,Agrupacion!A:C,3,0),"")</f>
        <v>GBA SUR</v>
      </c>
      <c r="J139" t="s">
        <v>156</v>
      </c>
      <c r="K139" t="s">
        <v>157</v>
      </c>
      <c r="M139" t="s">
        <v>8</v>
      </c>
    </row>
    <row r="140" spans="1:13" x14ac:dyDescent="0.2">
      <c r="A140">
        <v>142</v>
      </c>
      <c r="B140" t="s">
        <v>2513</v>
      </c>
      <c r="C140">
        <v>1</v>
      </c>
      <c r="D140" t="s">
        <v>158</v>
      </c>
      <c r="E140" t="s">
        <v>10</v>
      </c>
      <c r="F140" t="s">
        <v>159</v>
      </c>
      <c r="G140" t="s">
        <v>170</v>
      </c>
      <c r="H140" t="str">
        <f>_xlfn.IFNA(+VLOOKUP(G140,Agrupacion!A:B,2,0),"")</f>
        <v>AGRUPADOR 2</v>
      </c>
      <c r="I140" t="str">
        <f>_xlfn.IFNA(+VLOOKUP(G140,Agrupacion!A:C,3,0),"")</f>
        <v>CABA SUR</v>
      </c>
      <c r="J140" t="s">
        <v>160</v>
      </c>
      <c r="K140" t="s">
        <v>161</v>
      </c>
      <c r="M140" t="s">
        <v>8</v>
      </c>
    </row>
    <row r="141" spans="1:13" x14ac:dyDescent="0.2">
      <c r="A141">
        <v>143</v>
      </c>
      <c r="B141" t="s">
        <v>2514</v>
      </c>
      <c r="C141">
        <v>1</v>
      </c>
      <c r="D141" t="s">
        <v>162</v>
      </c>
      <c r="F141" t="s">
        <v>163</v>
      </c>
      <c r="G141" t="s">
        <v>249</v>
      </c>
      <c r="H141" t="str">
        <f>_xlfn.IFNA(+VLOOKUP(G141,Agrupacion!A:B,2,0),"")</f>
        <v>AGRUPADOR 2</v>
      </c>
      <c r="I141" t="str">
        <f>_xlfn.IFNA(+VLOOKUP(G141,Agrupacion!A:C,3,0),"")</f>
        <v>CABA SUR</v>
      </c>
      <c r="M141" t="s">
        <v>8</v>
      </c>
    </row>
    <row r="142" spans="1:13" x14ac:dyDescent="0.2">
      <c r="A142">
        <v>144</v>
      </c>
      <c r="B142" t="s">
        <v>2515</v>
      </c>
      <c r="C142">
        <v>1</v>
      </c>
      <c r="D142" t="s">
        <v>164</v>
      </c>
      <c r="E142" t="s">
        <v>10</v>
      </c>
      <c r="F142" t="s">
        <v>165</v>
      </c>
      <c r="G142" t="s">
        <v>396</v>
      </c>
      <c r="H142" t="str">
        <f>_xlfn.IFNA(+VLOOKUP(G142,Agrupacion!A:B,2,0),"")</f>
        <v>AGRUPADOR 3</v>
      </c>
      <c r="I142" t="str">
        <f>_xlfn.IFNA(+VLOOKUP(G142,Agrupacion!A:C,3,0),"")</f>
        <v>CABA SUR II</v>
      </c>
      <c r="J142" t="s">
        <v>15</v>
      </c>
      <c r="K142" t="s">
        <v>166</v>
      </c>
      <c r="L142" t="s">
        <v>167</v>
      </c>
      <c r="M142" t="s">
        <v>8</v>
      </c>
    </row>
    <row r="143" spans="1:13" x14ac:dyDescent="0.2">
      <c r="A143">
        <v>145</v>
      </c>
      <c r="B143" t="s">
        <v>2516</v>
      </c>
      <c r="C143">
        <v>1</v>
      </c>
      <c r="D143" t="s">
        <v>168</v>
      </c>
      <c r="E143" t="s">
        <v>10</v>
      </c>
      <c r="F143" t="s">
        <v>169</v>
      </c>
      <c r="G143" t="s">
        <v>170</v>
      </c>
      <c r="H143" t="str">
        <f>_xlfn.IFNA(+VLOOKUP(G143,Agrupacion!A:B,2,0),"")</f>
        <v>AGRUPADOR 2</v>
      </c>
      <c r="I143" t="str">
        <f>_xlfn.IFNA(+VLOOKUP(G143,Agrupacion!A:C,3,0),"")</f>
        <v>CABA SUR</v>
      </c>
      <c r="J143" t="s">
        <v>15</v>
      </c>
      <c r="K143" t="s">
        <v>171</v>
      </c>
      <c r="M143" t="s">
        <v>8</v>
      </c>
    </row>
    <row r="144" spans="1:13" x14ac:dyDescent="0.2">
      <c r="A144">
        <v>146</v>
      </c>
      <c r="B144" t="s">
        <v>2517</v>
      </c>
      <c r="C144">
        <v>1</v>
      </c>
      <c r="D144" t="s">
        <v>172</v>
      </c>
      <c r="E144" t="s">
        <v>10</v>
      </c>
      <c r="F144" t="s">
        <v>173</v>
      </c>
      <c r="G144" t="s">
        <v>396</v>
      </c>
      <c r="H144" t="str">
        <f>_xlfn.IFNA(+VLOOKUP(G144,Agrupacion!A:B,2,0),"")</f>
        <v>AGRUPADOR 3</v>
      </c>
      <c r="I144" t="str">
        <f>_xlfn.IFNA(+VLOOKUP(G144,Agrupacion!A:C,3,0),"")</f>
        <v>CABA SUR II</v>
      </c>
      <c r="M144" t="s">
        <v>8</v>
      </c>
    </row>
    <row r="145" spans="1:13" x14ac:dyDescent="0.2">
      <c r="A145">
        <v>147</v>
      </c>
      <c r="B145" t="s">
        <v>2518</v>
      </c>
      <c r="C145">
        <v>1</v>
      </c>
      <c r="D145" t="s">
        <v>174</v>
      </c>
      <c r="F145" t="s">
        <v>175</v>
      </c>
      <c r="G145" t="s">
        <v>48</v>
      </c>
      <c r="H145" t="str">
        <f>_xlfn.IFNA(+VLOOKUP(G145,Agrupacion!A:B,2,0),"")</f>
        <v>AGRUPADOR 2</v>
      </c>
      <c r="I145" t="str">
        <f>_xlfn.IFNA(+VLOOKUP(G145,Agrupacion!A:C,3,0),"")</f>
        <v>CABA SUR</v>
      </c>
      <c r="J145" t="s">
        <v>15</v>
      </c>
      <c r="K145" t="s">
        <v>176</v>
      </c>
      <c r="M145" t="s">
        <v>8</v>
      </c>
    </row>
    <row r="146" spans="1:13" x14ac:dyDescent="0.2">
      <c r="A146">
        <v>148</v>
      </c>
      <c r="B146" t="s">
        <v>2334</v>
      </c>
      <c r="C146">
        <v>1</v>
      </c>
      <c r="D146" t="s">
        <v>177</v>
      </c>
      <c r="E146" t="s">
        <v>10</v>
      </c>
      <c r="F146" t="s">
        <v>178</v>
      </c>
      <c r="G146" t="s">
        <v>2699</v>
      </c>
      <c r="H146" t="str">
        <f>_xlfn.IFNA(+VLOOKUP(G146,Agrupacion!A:B,2,0),"")</f>
        <v>AGRUPADOR 2</v>
      </c>
      <c r="I146" t="str">
        <f>_xlfn.IFNA(+VLOOKUP(G146,Agrupacion!A:C,3,0),"")</f>
        <v>CABA SUR</v>
      </c>
      <c r="J146" t="s">
        <v>179</v>
      </c>
      <c r="K146" t="s">
        <v>180</v>
      </c>
      <c r="M146" t="s">
        <v>8</v>
      </c>
    </row>
    <row r="147" spans="1:13" x14ac:dyDescent="0.2">
      <c r="A147">
        <v>149</v>
      </c>
      <c r="B147" t="s">
        <v>2335</v>
      </c>
      <c r="C147">
        <v>1</v>
      </c>
      <c r="D147" t="s">
        <v>181</v>
      </c>
      <c r="E147" t="s">
        <v>10</v>
      </c>
      <c r="F147" t="s">
        <v>182</v>
      </c>
      <c r="G147" t="s">
        <v>396</v>
      </c>
      <c r="H147" t="str">
        <f>_xlfn.IFNA(+VLOOKUP(G147,Agrupacion!A:B,2,0),"")</f>
        <v>AGRUPADOR 3</v>
      </c>
      <c r="I147" t="str">
        <f>_xlfn.IFNA(+VLOOKUP(G147,Agrupacion!A:C,3,0),"")</f>
        <v>CABA SUR II</v>
      </c>
      <c r="J147" t="s">
        <v>15</v>
      </c>
      <c r="K147" t="s">
        <v>183</v>
      </c>
      <c r="M147" t="s">
        <v>8</v>
      </c>
    </row>
    <row r="148" spans="1:13" x14ac:dyDescent="0.2">
      <c r="A148">
        <v>150</v>
      </c>
      <c r="B148" t="s">
        <v>2336</v>
      </c>
      <c r="C148">
        <v>1</v>
      </c>
      <c r="D148" t="s">
        <v>187</v>
      </c>
      <c r="E148" t="s">
        <v>10</v>
      </c>
      <c r="F148" t="s">
        <v>188</v>
      </c>
      <c r="G148" t="s">
        <v>396</v>
      </c>
      <c r="H148" t="str">
        <f>_xlfn.IFNA(+VLOOKUP(G148,Agrupacion!A:B,2,0),"")</f>
        <v>AGRUPADOR 3</v>
      </c>
      <c r="I148" t="str">
        <f>_xlfn.IFNA(+VLOOKUP(G148,Agrupacion!A:C,3,0),"")</f>
        <v>CABA SUR II</v>
      </c>
      <c r="J148" t="s">
        <v>15</v>
      </c>
      <c r="M148" t="s">
        <v>8</v>
      </c>
    </row>
    <row r="149" spans="1:13" x14ac:dyDescent="0.2">
      <c r="A149">
        <v>151</v>
      </c>
      <c r="B149" t="s">
        <v>2337</v>
      </c>
      <c r="C149">
        <v>1</v>
      </c>
      <c r="D149" t="s">
        <v>189</v>
      </c>
      <c r="E149" t="s">
        <v>10</v>
      </c>
      <c r="F149" t="s">
        <v>190</v>
      </c>
      <c r="G149" t="s">
        <v>249</v>
      </c>
      <c r="H149" t="str">
        <f>_xlfn.IFNA(+VLOOKUP(G149,Agrupacion!A:B,2,0),"")</f>
        <v>AGRUPADOR 2</v>
      </c>
      <c r="I149" t="str">
        <f>_xlfn.IFNA(+VLOOKUP(G149,Agrupacion!A:C,3,0),"")</f>
        <v>CABA SUR</v>
      </c>
      <c r="J149" t="s">
        <v>191</v>
      </c>
      <c r="K149" t="s">
        <v>192</v>
      </c>
      <c r="M149" t="s">
        <v>8</v>
      </c>
    </row>
    <row r="150" spans="1:13" x14ac:dyDescent="0.2">
      <c r="A150">
        <v>152</v>
      </c>
      <c r="B150" t="s">
        <v>2338</v>
      </c>
      <c r="C150">
        <v>1</v>
      </c>
      <c r="D150" t="s">
        <v>193</v>
      </c>
      <c r="E150" t="s">
        <v>10</v>
      </c>
      <c r="F150" t="s">
        <v>194</v>
      </c>
      <c r="G150" t="s">
        <v>2697</v>
      </c>
      <c r="H150" t="str">
        <f>_xlfn.IFNA(+VLOOKUP(G150,Agrupacion!A:B,2,0),"")</f>
        <v>AGRUPADOR 3</v>
      </c>
      <c r="I150" t="str">
        <f>_xlfn.IFNA(+VLOOKUP(G150,Agrupacion!A:C,3,0),"")</f>
        <v>CABA SUR II</v>
      </c>
      <c r="J150" t="s">
        <v>195</v>
      </c>
      <c r="K150" t="s">
        <v>196</v>
      </c>
      <c r="M150" t="s">
        <v>8</v>
      </c>
    </row>
    <row r="151" spans="1:13" x14ac:dyDescent="0.2">
      <c r="A151">
        <v>153</v>
      </c>
      <c r="B151" t="s">
        <v>2339</v>
      </c>
      <c r="C151">
        <v>1</v>
      </c>
      <c r="D151" t="s">
        <v>197</v>
      </c>
      <c r="E151" t="s">
        <v>10</v>
      </c>
      <c r="F151" t="s">
        <v>198</v>
      </c>
      <c r="G151" t="s">
        <v>2697</v>
      </c>
      <c r="H151" t="str">
        <f>_xlfn.IFNA(+VLOOKUP(G151,Agrupacion!A:B,2,0),"")</f>
        <v>AGRUPADOR 3</v>
      </c>
      <c r="I151" t="str">
        <f>_xlfn.IFNA(+VLOOKUP(G151,Agrupacion!A:C,3,0),"")</f>
        <v>CABA SUR II</v>
      </c>
      <c r="J151" t="s">
        <v>62</v>
      </c>
      <c r="M151" t="s">
        <v>8</v>
      </c>
    </row>
    <row r="152" spans="1:13" x14ac:dyDescent="0.2">
      <c r="A152">
        <v>154</v>
      </c>
      <c r="B152" t="s">
        <v>2340</v>
      </c>
      <c r="C152">
        <v>1</v>
      </c>
      <c r="D152" t="s">
        <v>199</v>
      </c>
      <c r="E152" t="s">
        <v>10</v>
      </c>
      <c r="F152" t="s">
        <v>200</v>
      </c>
      <c r="G152" t="s">
        <v>201</v>
      </c>
      <c r="H152" t="str">
        <f>_xlfn.IFNA(+VLOOKUP(G152,Agrupacion!A:B,2,0),"")</f>
        <v>AGRUPADOR 2</v>
      </c>
      <c r="I152" t="str">
        <f>_xlfn.IFNA(+VLOOKUP(G152,Agrupacion!A:C,3,0),"")</f>
        <v>CABA SUR</v>
      </c>
      <c r="J152" t="s">
        <v>15</v>
      </c>
      <c r="K152" t="s">
        <v>202</v>
      </c>
      <c r="M152" t="s">
        <v>8</v>
      </c>
    </row>
    <row r="153" spans="1:13" x14ac:dyDescent="0.2">
      <c r="A153">
        <v>155</v>
      </c>
      <c r="B153" t="s">
        <v>2341</v>
      </c>
      <c r="C153">
        <v>1</v>
      </c>
      <c r="D153" t="s">
        <v>203</v>
      </c>
      <c r="F153" t="s">
        <v>204</v>
      </c>
      <c r="G153" t="s">
        <v>108</v>
      </c>
      <c r="H153" t="str">
        <f>_xlfn.IFNA(+VLOOKUP(G153,Agrupacion!A:B,2,0),"")</f>
        <v>AGRUPADOR 1</v>
      </c>
      <c r="I153" t="str">
        <f>_xlfn.IFNA(+VLOOKUP(G153,Agrupacion!A:C,3,0),"")</f>
        <v>CABA NORTE</v>
      </c>
      <c r="J153" t="s">
        <v>109</v>
      </c>
      <c r="M153" t="s">
        <v>8</v>
      </c>
    </row>
    <row r="154" spans="1:13" x14ac:dyDescent="0.2">
      <c r="A154">
        <v>156</v>
      </c>
      <c r="B154" t="s">
        <v>2342</v>
      </c>
      <c r="C154">
        <v>1</v>
      </c>
      <c r="D154" t="s">
        <v>205</v>
      </c>
      <c r="E154" t="s">
        <v>10</v>
      </c>
      <c r="F154" t="s">
        <v>73</v>
      </c>
      <c r="G154" t="s">
        <v>396</v>
      </c>
      <c r="H154" t="str">
        <f>_xlfn.IFNA(+VLOOKUP(G154,Agrupacion!A:B,2,0),"")</f>
        <v>AGRUPADOR 3</v>
      </c>
      <c r="I154" t="str">
        <f>_xlfn.IFNA(+VLOOKUP(G154,Agrupacion!A:C,3,0),"")</f>
        <v>CABA SUR II</v>
      </c>
      <c r="J154" t="s">
        <v>15</v>
      </c>
      <c r="K154" t="s">
        <v>206</v>
      </c>
      <c r="M154" t="s">
        <v>8</v>
      </c>
    </row>
    <row r="155" spans="1:13" x14ac:dyDescent="0.2">
      <c r="A155">
        <v>157</v>
      </c>
      <c r="B155" t="s">
        <v>2343</v>
      </c>
      <c r="C155">
        <v>1</v>
      </c>
      <c r="D155" t="s">
        <v>207</v>
      </c>
      <c r="E155" t="s">
        <v>10</v>
      </c>
      <c r="F155" t="s">
        <v>208</v>
      </c>
      <c r="G155" t="s">
        <v>249</v>
      </c>
      <c r="H155" t="str">
        <f>_xlfn.IFNA(+VLOOKUP(G155,Agrupacion!A:B,2,0),"")</f>
        <v>AGRUPADOR 2</v>
      </c>
      <c r="I155" t="str">
        <f>_xlfn.IFNA(+VLOOKUP(G155,Agrupacion!A:C,3,0),"")</f>
        <v>CABA SUR</v>
      </c>
      <c r="J155" t="s">
        <v>209</v>
      </c>
      <c r="M155" t="s">
        <v>8</v>
      </c>
    </row>
    <row r="156" spans="1:13" x14ac:dyDescent="0.2">
      <c r="A156">
        <v>158</v>
      </c>
      <c r="B156" t="s">
        <v>2344</v>
      </c>
      <c r="C156">
        <v>1</v>
      </c>
      <c r="D156" t="s">
        <v>210</v>
      </c>
      <c r="E156" t="s">
        <v>96</v>
      </c>
      <c r="F156" t="s">
        <v>211</v>
      </c>
      <c r="G156" t="s">
        <v>155</v>
      </c>
      <c r="H156" t="str">
        <f>_xlfn.IFNA(+VLOOKUP(G156,Agrupacion!A:B,2,0),"")</f>
        <v>AGRUPADOR 4</v>
      </c>
      <c r="I156" t="str">
        <f>_xlfn.IFNA(+VLOOKUP(G156,Agrupacion!A:C,3,0),"")</f>
        <v>GBA SUR</v>
      </c>
      <c r="J156" t="s">
        <v>156</v>
      </c>
      <c r="M156" t="s">
        <v>8</v>
      </c>
    </row>
    <row r="157" spans="1:13" x14ac:dyDescent="0.2">
      <c r="A157">
        <v>159</v>
      </c>
      <c r="B157" t="s">
        <v>2345</v>
      </c>
      <c r="C157">
        <v>1</v>
      </c>
      <c r="D157" t="s">
        <v>212</v>
      </c>
      <c r="E157" t="s">
        <v>10</v>
      </c>
      <c r="F157" t="s">
        <v>213</v>
      </c>
      <c r="G157" t="s">
        <v>249</v>
      </c>
      <c r="H157" t="str">
        <f>_xlfn.IFNA(+VLOOKUP(G157,Agrupacion!A:B,2,0),"")</f>
        <v>AGRUPADOR 2</v>
      </c>
      <c r="I157" t="str">
        <f>_xlfn.IFNA(+VLOOKUP(G157,Agrupacion!A:C,3,0),"")</f>
        <v>CABA SUR</v>
      </c>
      <c r="M157" t="s">
        <v>8</v>
      </c>
    </row>
    <row r="158" spans="1:13" x14ac:dyDescent="0.2">
      <c r="A158">
        <v>160</v>
      </c>
      <c r="B158" t="s">
        <v>2346</v>
      </c>
      <c r="C158">
        <v>1</v>
      </c>
      <c r="D158" t="s">
        <v>217</v>
      </c>
      <c r="E158" t="s">
        <v>10</v>
      </c>
      <c r="F158" t="s">
        <v>218</v>
      </c>
      <c r="G158" t="s">
        <v>2697</v>
      </c>
      <c r="H158" t="str">
        <f>_xlfn.IFNA(+VLOOKUP(G158,Agrupacion!A:B,2,0),"")</f>
        <v>AGRUPADOR 3</v>
      </c>
      <c r="I158" t="str">
        <f>_xlfn.IFNA(+VLOOKUP(G158,Agrupacion!A:C,3,0),"")</f>
        <v>CABA SUR II</v>
      </c>
      <c r="J158" t="s">
        <v>62</v>
      </c>
      <c r="M158" t="s">
        <v>8</v>
      </c>
    </row>
    <row r="159" spans="1:13" x14ac:dyDescent="0.2">
      <c r="A159">
        <v>161</v>
      </c>
      <c r="B159" t="s">
        <v>2347</v>
      </c>
      <c r="C159">
        <v>1</v>
      </c>
      <c r="D159" t="s">
        <v>219</v>
      </c>
      <c r="E159" t="s">
        <v>10</v>
      </c>
      <c r="F159" t="s">
        <v>220</v>
      </c>
      <c r="G159" t="s">
        <v>48</v>
      </c>
      <c r="H159" t="str">
        <f>_xlfn.IFNA(+VLOOKUP(G159,Agrupacion!A:B,2,0),"")</f>
        <v>AGRUPADOR 2</v>
      </c>
      <c r="I159" t="str">
        <f>_xlfn.IFNA(+VLOOKUP(G159,Agrupacion!A:C,3,0),"")</f>
        <v>CABA SUR</v>
      </c>
      <c r="J159" t="s">
        <v>15</v>
      </c>
      <c r="K159" t="s">
        <v>221</v>
      </c>
      <c r="M159" t="s">
        <v>8</v>
      </c>
    </row>
    <row r="160" spans="1:13" x14ac:dyDescent="0.2">
      <c r="A160">
        <v>162</v>
      </c>
      <c r="B160" t="s">
        <v>2451</v>
      </c>
      <c r="C160">
        <v>1</v>
      </c>
      <c r="D160" t="s">
        <v>222</v>
      </c>
      <c r="E160" t="s">
        <v>96</v>
      </c>
      <c r="F160" t="s">
        <v>223</v>
      </c>
      <c r="G160" t="s">
        <v>224</v>
      </c>
      <c r="H160" t="str">
        <f>_xlfn.IFNA(+VLOOKUP(G160,Agrupacion!A:B,2,0),"")</f>
        <v>AGRUPADOR 3</v>
      </c>
      <c r="I160" t="str">
        <f>_xlfn.IFNA(+VLOOKUP(G160,Agrupacion!A:C,3,0),"")</f>
        <v>CABA SUR II</v>
      </c>
      <c r="J160" t="s">
        <v>225</v>
      </c>
      <c r="M160" t="s">
        <v>8</v>
      </c>
    </row>
    <row r="161" spans="1:13" x14ac:dyDescent="0.2">
      <c r="A161">
        <v>163</v>
      </c>
      <c r="B161" t="s">
        <v>2349</v>
      </c>
      <c r="C161">
        <v>1</v>
      </c>
      <c r="D161" t="s">
        <v>226</v>
      </c>
      <c r="E161" t="s">
        <v>10</v>
      </c>
      <c r="F161" t="s">
        <v>227</v>
      </c>
      <c r="G161" t="s">
        <v>396</v>
      </c>
      <c r="H161" t="str">
        <f>_xlfn.IFNA(+VLOOKUP(G161,Agrupacion!A:B,2,0),"")</f>
        <v>AGRUPADOR 3</v>
      </c>
      <c r="I161" t="str">
        <f>_xlfn.IFNA(+VLOOKUP(G161,Agrupacion!A:C,3,0),"")</f>
        <v>CABA SUR II</v>
      </c>
      <c r="J161" t="s">
        <v>15</v>
      </c>
      <c r="K161" t="s">
        <v>228</v>
      </c>
      <c r="M161" t="s">
        <v>8</v>
      </c>
    </row>
    <row r="162" spans="1:13" x14ac:dyDescent="0.2">
      <c r="A162">
        <v>164</v>
      </c>
      <c r="B162" t="s">
        <v>2350</v>
      </c>
      <c r="C162">
        <v>1</v>
      </c>
      <c r="D162" t="s">
        <v>229</v>
      </c>
      <c r="F162" t="s">
        <v>230</v>
      </c>
      <c r="G162" t="s">
        <v>48</v>
      </c>
      <c r="H162" t="str">
        <f>_xlfn.IFNA(+VLOOKUP(G162,Agrupacion!A:B,2,0),"")</f>
        <v>AGRUPADOR 2</v>
      </c>
      <c r="I162" t="str">
        <f>_xlfn.IFNA(+VLOOKUP(G162,Agrupacion!A:C,3,0),"")</f>
        <v>CABA SUR</v>
      </c>
      <c r="J162" t="s">
        <v>15</v>
      </c>
      <c r="M162" t="s">
        <v>8</v>
      </c>
    </row>
    <row r="163" spans="1:13" x14ac:dyDescent="0.2">
      <c r="A163">
        <v>165</v>
      </c>
      <c r="B163" t="s">
        <v>2351</v>
      </c>
      <c r="C163">
        <v>1</v>
      </c>
      <c r="D163" t="s">
        <v>231</v>
      </c>
      <c r="F163" t="s">
        <v>232</v>
      </c>
      <c r="G163" t="s">
        <v>396</v>
      </c>
      <c r="H163" t="str">
        <f>_xlfn.IFNA(+VLOOKUP(G163,Agrupacion!A:B,2,0),"")</f>
        <v>AGRUPADOR 3</v>
      </c>
      <c r="I163" t="str">
        <f>_xlfn.IFNA(+VLOOKUP(G163,Agrupacion!A:C,3,0),"")</f>
        <v>CABA SUR II</v>
      </c>
      <c r="J163" t="s">
        <v>15</v>
      </c>
      <c r="M163" t="s">
        <v>8</v>
      </c>
    </row>
    <row r="164" spans="1:13" x14ac:dyDescent="0.2">
      <c r="A164">
        <v>166</v>
      </c>
      <c r="B164" t="s">
        <v>2352</v>
      </c>
      <c r="C164">
        <v>1</v>
      </c>
      <c r="D164" t="s">
        <v>233</v>
      </c>
      <c r="E164" t="s">
        <v>96</v>
      </c>
      <c r="F164" t="s">
        <v>234</v>
      </c>
      <c r="G164" t="s">
        <v>235</v>
      </c>
      <c r="H164" t="str">
        <f>_xlfn.IFNA(+VLOOKUP(G164,Agrupacion!A:B,2,0),"")</f>
        <v>AGRUPADOR 8</v>
      </c>
      <c r="I164" t="str">
        <f>_xlfn.IFNA(+VLOOKUP(G164,Agrupacion!A:C,3,0),"")</f>
        <v>GBA NORTE</v>
      </c>
      <c r="J164" t="s">
        <v>236</v>
      </c>
      <c r="M164" t="s">
        <v>8</v>
      </c>
    </row>
    <row r="165" spans="1:13" x14ac:dyDescent="0.2">
      <c r="A165">
        <v>167</v>
      </c>
      <c r="B165" t="s">
        <v>2353</v>
      </c>
      <c r="C165">
        <v>1</v>
      </c>
      <c r="D165" t="s">
        <v>237</v>
      </c>
      <c r="E165" t="s">
        <v>96</v>
      </c>
      <c r="F165" t="s">
        <v>238</v>
      </c>
      <c r="G165" t="s">
        <v>239</v>
      </c>
      <c r="H165" t="str">
        <f>_xlfn.IFNA(+VLOOKUP(G165,Agrupacion!A:B,2,0),"")</f>
        <v>AGRUPADOR 6</v>
      </c>
      <c r="I165" t="str">
        <f>_xlfn.IFNA(+VLOOKUP(G165,Agrupacion!A:C,3,0),"")</f>
        <v>GBA OESTE</v>
      </c>
      <c r="J165" t="s">
        <v>240</v>
      </c>
      <c r="K165" t="s">
        <v>241</v>
      </c>
      <c r="M165" t="s">
        <v>8</v>
      </c>
    </row>
    <row r="166" spans="1:13" x14ac:dyDescent="0.2">
      <c r="A166">
        <v>168</v>
      </c>
      <c r="B166" t="s">
        <v>2354</v>
      </c>
      <c r="C166">
        <v>1</v>
      </c>
      <c r="D166" t="s">
        <v>55</v>
      </c>
      <c r="E166" t="s">
        <v>10</v>
      </c>
      <c r="F166" t="s">
        <v>55</v>
      </c>
      <c r="G166" t="s">
        <v>1192</v>
      </c>
      <c r="H166" t="str">
        <f>_xlfn.IFNA(+VLOOKUP(G166,Agrupacion!A:B,2,0),"")</f>
        <v>AGRUPADOR 3</v>
      </c>
      <c r="I166" t="str">
        <f>_xlfn.IFNA(+VLOOKUP(G166,Agrupacion!A:C,3,0),"")</f>
        <v>CABA SUR II</v>
      </c>
      <c r="J166" t="s">
        <v>15</v>
      </c>
      <c r="M166" t="s">
        <v>8</v>
      </c>
    </row>
    <row r="167" spans="1:13" x14ac:dyDescent="0.2">
      <c r="A167">
        <v>169</v>
      </c>
      <c r="B167" t="s">
        <v>2355</v>
      </c>
      <c r="C167">
        <v>1</v>
      </c>
      <c r="D167" t="s">
        <v>242</v>
      </c>
      <c r="E167" t="s">
        <v>10</v>
      </c>
      <c r="F167" t="s">
        <v>243</v>
      </c>
      <c r="G167" t="s">
        <v>170</v>
      </c>
      <c r="H167" t="str">
        <f>_xlfn.IFNA(+VLOOKUP(G167,Agrupacion!A:B,2,0),"")</f>
        <v>AGRUPADOR 2</v>
      </c>
      <c r="I167" t="str">
        <f>_xlfn.IFNA(+VLOOKUP(G167,Agrupacion!A:C,3,0),"")</f>
        <v>CABA SUR</v>
      </c>
      <c r="J167" t="s">
        <v>244</v>
      </c>
      <c r="M167" t="s">
        <v>8</v>
      </c>
    </row>
    <row r="168" spans="1:13" x14ac:dyDescent="0.2">
      <c r="A168">
        <v>170</v>
      </c>
      <c r="B168" t="s">
        <v>2356</v>
      </c>
      <c r="C168">
        <v>1</v>
      </c>
      <c r="D168" t="s">
        <v>248</v>
      </c>
      <c r="F168" t="s">
        <v>125</v>
      </c>
      <c r="G168" t="s">
        <v>249</v>
      </c>
      <c r="H168" t="str">
        <f>_xlfn.IFNA(+VLOOKUP(G168,Agrupacion!A:B,2,0),"")</f>
        <v>AGRUPADOR 2</v>
      </c>
      <c r="I168" t="str">
        <f>_xlfn.IFNA(+VLOOKUP(G168,Agrupacion!A:C,3,0),"")</f>
        <v>CABA SUR</v>
      </c>
      <c r="M168" t="s">
        <v>8</v>
      </c>
    </row>
    <row r="169" spans="1:13" x14ac:dyDescent="0.2">
      <c r="A169">
        <v>171</v>
      </c>
      <c r="B169" t="s">
        <v>2357</v>
      </c>
      <c r="C169">
        <v>1</v>
      </c>
      <c r="D169" t="s">
        <v>250</v>
      </c>
      <c r="E169" t="s">
        <v>10</v>
      </c>
      <c r="F169" t="s">
        <v>251</v>
      </c>
      <c r="G169" t="s">
        <v>108</v>
      </c>
      <c r="H169" t="str">
        <f>_xlfn.IFNA(+VLOOKUP(G169,Agrupacion!A:B,2,0),"")</f>
        <v>AGRUPADOR 1</v>
      </c>
      <c r="I169" t="str">
        <f>_xlfn.IFNA(+VLOOKUP(G169,Agrupacion!A:C,3,0),"")</f>
        <v>CABA NORTE</v>
      </c>
      <c r="K169" t="s">
        <v>252</v>
      </c>
      <c r="M169" t="s">
        <v>8</v>
      </c>
    </row>
    <row r="170" spans="1:13" x14ac:dyDescent="0.2">
      <c r="A170">
        <v>172</v>
      </c>
      <c r="B170" t="s">
        <v>1857</v>
      </c>
      <c r="C170">
        <v>1</v>
      </c>
      <c r="D170" t="s">
        <v>253</v>
      </c>
      <c r="F170" t="s">
        <v>254</v>
      </c>
      <c r="G170" t="s">
        <v>396</v>
      </c>
      <c r="H170" t="str">
        <f>_xlfn.IFNA(+VLOOKUP(G170,Agrupacion!A:B,2,0),"")</f>
        <v>AGRUPADOR 3</v>
      </c>
      <c r="I170" t="str">
        <f>_xlfn.IFNA(+VLOOKUP(G170,Agrupacion!A:C,3,0),"")</f>
        <v>CABA SUR II</v>
      </c>
      <c r="J170" t="s">
        <v>15</v>
      </c>
      <c r="M170" t="s">
        <v>8</v>
      </c>
    </row>
    <row r="171" spans="1:13" x14ac:dyDescent="0.2">
      <c r="A171">
        <v>173</v>
      </c>
      <c r="B171" t="s">
        <v>2358</v>
      </c>
      <c r="C171">
        <v>1</v>
      </c>
      <c r="D171" t="s">
        <v>255</v>
      </c>
      <c r="F171" t="s">
        <v>256</v>
      </c>
      <c r="G171" t="s">
        <v>396</v>
      </c>
      <c r="H171" t="str">
        <f>_xlfn.IFNA(+VLOOKUP(G171,Agrupacion!A:B,2,0),"")</f>
        <v>AGRUPADOR 3</v>
      </c>
      <c r="I171" t="str">
        <f>_xlfn.IFNA(+VLOOKUP(G171,Agrupacion!A:C,3,0),"")</f>
        <v>CABA SUR II</v>
      </c>
      <c r="J171" t="s">
        <v>15</v>
      </c>
      <c r="K171" t="s">
        <v>257</v>
      </c>
      <c r="M171" t="s">
        <v>8</v>
      </c>
    </row>
    <row r="172" spans="1:13" x14ac:dyDescent="0.2">
      <c r="A172">
        <v>174</v>
      </c>
      <c r="B172" t="s">
        <v>2359</v>
      </c>
      <c r="C172">
        <v>1</v>
      </c>
      <c r="D172" t="s">
        <v>258</v>
      </c>
      <c r="E172" t="s">
        <v>10</v>
      </c>
      <c r="F172" t="s">
        <v>259</v>
      </c>
      <c r="G172" t="s">
        <v>2697</v>
      </c>
      <c r="H172" t="str">
        <f>_xlfn.IFNA(+VLOOKUP(G172,Agrupacion!A:B,2,0),"")</f>
        <v>AGRUPADOR 3</v>
      </c>
      <c r="I172" t="str">
        <f>_xlfn.IFNA(+VLOOKUP(G172,Agrupacion!A:C,3,0),"")</f>
        <v>CABA SUR II</v>
      </c>
      <c r="J172" t="s">
        <v>195</v>
      </c>
      <c r="M172" t="s">
        <v>8</v>
      </c>
    </row>
    <row r="173" spans="1:13" x14ac:dyDescent="0.2">
      <c r="A173">
        <v>175</v>
      </c>
      <c r="B173" t="s">
        <v>2360</v>
      </c>
      <c r="C173">
        <v>1</v>
      </c>
      <c r="D173" t="s">
        <v>260</v>
      </c>
      <c r="E173" t="s">
        <v>10</v>
      </c>
      <c r="F173" t="s">
        <v>261</v>
      </c>
      <c r="G173" t="s">
        <v>170</v>
      </c>
      <c r="H173" t="str">
        <f>_xlfn.IFNA(+VLOOKUP(G173,Agrupacion!A:B,2,0),"")</f>
        <v>AGRUPADOR 2</v>
      </c>
      <c r="I173" t="str">
        <f>_xlfn.IFNA(+VLOOKUP(G173,Agrupacion!A:C,3,0),"")</f>
        <v>CABA SUR</v>
      </c>
      <c r="J173" t="s">
        <v>262</v>
      </c>
      <c r="M173" t="s">
        <v>8</v>
      </c>
    </row>
    <row r="174" spans="1:13" x14ac:dyDescent="0.2">
      <c r="A174">
        <v>176</v>
      </c>
      <c r="B174" t="s">
        <v>2361</v>
      </c>
      <c r="C174">
        <v>1</v>
      </c>
      <c r="D174" t="s">
        <v>263</v>
      </c>
      <c r="E174" t="s">
        <v>10</v>
      </c>
      <c r="F174" t="s">
        <v>264</v>
      </c>
      <c r="G174" t="s">
        <v>48</v>
      </c>
      <c r="H174" t="str">
        <f>_xlfn.IFNA(+VLOOKUP(G174,Agrupacion!A:B,2,0),"")</f>
        <v>AGRUPADOR 2</v>
      </c>
      <c r="I174" t="str">
        <f>_xlfn.IFNA(+VLOOKUP(G174,Agrupacion!A:C,3,0),"")</f>
        <v>CABA SUR</v>
      </c>
      <c r="J174" t="s">
        <v>15</v>
      </c>
      <c r="K174" t="s">
        <v>265</v>
      </c>
      <c r="M174" t="s">
        <v>8</v>
      </c>
    </row>
    <row r="175" spans="1:13" x14ac:dyDescent="0.2">
      <c r="A175">
        <v>177</v>
      </c>
      <c r="B175" t="s">
        <v>2362</v>
      </c>
      <c r="C175">
        <v>1</v>
      </c>
      <c r="D175" t="s">
        <v>266</v>
      </c>
      <c r="F175" t="s">
        <v>267</v>
      </c>
      <c r="G175" t="s">
        <v>108</v>
      </c>
      <c r="H175" t="str">
        <f>_xlfn.IFNA(+VLOOKUP(G175,Agrupacion!A:B,2,0),"")</f>
        <v>AGRUPADOR 1</v>
      </c>
      <c r="I175" t="str">
        <f>_xlfn.IFNA(+VLOOKUP(G175,Agrupacion!A:C,3,0),"")</f>
        <v>CABA NORTE</v>
      </c>
      <c r="J175" t="s">
        <v>109</v>
      </c>
      <c r="M175" t="s">
        <v>8</v>
      </c>
    </row>
    <row r="176" spans="1:13" x14ac:dyDescent="0.2">
      <c r="A176">
        <v>178</v>
      </c>
      <c r="B176" t="s">
        <v>1857</v>
      </c>
      <c r="C176">
        <v>1</v>
      </c>
      <c r="D176" t="s">
        <v>268</v>
      </c>
      <c r="E176" t="s">
        <v>10</v>
      </c>
      <c r="F176" t="s">
        <v>269</v>
      </c>
      <c r="G176" t="s">
        <v>249</v>
      </c>
      <c r="H176" t="str">
        <f>_xlfn.IFNA(+VLOOKUP(G176,Agrupacion!A:B,2,0),"")</f>
        <v>AGRUPADOR 2</v>
      </c>
      <c r="I176" t="str">
        <f>_xlfn.IFNA(+VLOOKUP(G176,Agrupacion!A:C,3,0),"")</f>
        <v>CABA SUR</v>
      </c>
      <c r="M176" t="s">
        <v>8</v>
      </c>
    </row>
    <row r="177" spans="1:13" x14ac:dyDescent="0.2">
      <c r="A177">
        <v>179</v>
      </c>
      <c r="B177" t="s">
        <v>2363</v>
      </c>
      <c r="C177">
        <v>1</v>
      </c>
      <c r="D177" t="s">
        <v>270</v>
      </c>
      <c r="E177" t="s">
        <v>10</v>
      </c>
      <c r="F177" t="s">
        <v>271</v>
      </c>
      <c r="G177" t="s">
        <v>396</v>
      </c>
      <c r="H177" t="str">
        <f>_xlfn.IFNA(+VLOOKUP(G177,Agrupacion!A:B,2,0),"")</f>
        <v>AGRUPADOR 3</v>
      </c>
      <c r="I177" t="str">
        <f>_xlfn.IFNA(+VLOOKUP(G177,Agrupacion!A:C,3,0),"")</f>
        <v>CABA SUR II</v>
      </c>
      <c r="J177" t="s">
        <v>15</v>
      </c>
      <c r="K177" t="s">
        <v>272</v>
      </c>
      <c r="M177" t="s">
        <v>8</v>
      </c>
    </row>
    <row r="178" spans="1:13" x14ac:dyDescent="0.2">
      <c r="A178">
        <v>180</v>
      </c>
      <c r="B178" t="s">
        <v>2364</v>
      </c>
      <c r="C178">
        <v>1</v>
      </c>
      <c r="D178" t="s">
        <v>276</v>
      </c>
      <c r="E178" t="s">
        <v>10</v>
      </c>
      <c r="F178" t="s">
        <v>277</v>
      </c>
      <c r="G178" t="s">
        <v>396</v>
      </c>
      <c r="H178" t="str">
        <f>_xlfn.IFNA(+VLOOKUP(G178,Agrupacion!A:B,2,0),"")</f>
        <v>AGRUPADOR 3</v>
      </c>
      <c r="I178" t="str">
        <f>_xlfn.IFNA(+VLOOKUP(G178,Agrupacion!A:C,3,0),"")</f>
        <v>CABA SUR II</v>
      </c>
      <c r="J178" t="s">
        <v>15</v>
      </c>
      <c r="M178" t="s">
        <v>8</v>
      </c>
    </row>
    <row r="179" spans="1:13" x14ac:dyDescent="0.2">
      <c r="A179">
        <v>181</v>
      </c>
      <c r="B179" t="s">
        <v>2365</v>
      </c>
      <c r="C179">
        <v>1</v>
      </c>
      <c r="D179" t="s">
        <v>278</v>
      </c>
      <c r="E179" t="s">
        <v>10</v>
      </c>
      <c r="F179" t="s">
        <v>279</v>
      </c>
      <c r="G179" t="s">
        <v>396</v>
      </c>
      <c r="H179" t="str">
        <f>_xlfn.IFNA(+VLOOKUP(G179,Agrupacion!A:B,2,0),"")</f>
        <v>AGRUPADOR 3</v>
      </c>
      <c r="I179" t="str">
        <f>_xlfn.IFNA(+VLOOKUP(G179,Agrupacion!A:C,3,0),"")</f>
        <v>CABA SUR II</v>
      </c>
      <c r="M179" t="s">
        <v>8</v>
      </c>
    </row>
    <row r="180" spans="1:13" x14ac:dyDescent="0.2">
      <c r="A180">
        <v>182</v>
      </c>
      <c r="B180" t="s">
        <v>2366</v>
      </c>
      <c r="C180">
        <v>1</v>
      </c>
      <c r="D180" t="s">
        <v>280</v>
      </c>
      <c r="E180" t="s">
        <v>10</v>
      </c>
      <c r="F180" t="s">
        <v>281</v>
      </c>
      <c r="G180" t="s">
        <v>1192</v>
      </c>
      <c r="H180" t="str">
        <f>_xlfn.IFNA(+VLOOKUP(G180,Agrupacion!A:B,2,0),"")</f>
        <v>AGRUPADOR 3</v>
      </c>
      <c r="I180" t="str">
        <f>_xlfn.IFNA(+VLOOKUP(G180,Agrupacion!A:C,3,0),"")</f>
        <v>CABA SUR II</v>
      </c>
      <c r="J180" t="s">
        <v>282</v>
      </c>
      <c r="K180" t="s">
        <v>283</v>
      </c>
      <c r="M180" t="s">
        <v>8</v>
      </c>
    </row>
    <row r="181" spans="1:13" x14ac:dyDescent="0.2">
      <c r="A181">
        <v>183</v>
      </c>
      <c r="B181" t="s">
        <v>2367</v>
      </c>
      <c r="C181">
        <v>1</v>
      </c>
      <c r="D181" t="s">
        <v>140</v>
      </c>
      <c r="F181" t="s">
        <v>141</v>
      </c>
      <c r="G181" t="s">
        <v>249</v>
      </c>
      <c r="H181" t="str">
        <f>_xlfn.IFNA(+VLOOKUP(G181,Agrupacion!A:B,2,0),"")</f>
        <v>AGRUPADOR 2</v>
      </c>
      <c r="I181" t="str">
        <f>_xlfn.IFNA(+VLOOKUP(G181,Agrupacion!A:C,3,0),"")</f>
        <v>CABA SUR</v>
      </c>
      <c r="J181" t="s">
        <v>115</v>
      </c>
      <c r="M181" t="s">
        <v>8</v>
      </c>
    </row>
    <row r="182" spans="1:13" x14ac:dyDescent="0.2">
      <c r="A182">
        <v>184</v>
      </c>
      <c r="B182" t="s">
        <v>2368</v>
      </c>
      <c r="C182">
        <v>1</v>
      </c>
      <c r="D182" t="s">
        <v>284</v>
      </c>
      <c r="E182" t="s">
        <v>10</v>
      </c>
      <c r="F182" t="s">
        <v>285</v>
      </c>
      <c r="G182" t="s">
        <v>2699</v>
      </c>
      <c r="H182" t="str">
        <f>_xlfn.IFNA(+VLOOKUP(G182,Agrupacion!A:B,2,0),"")</f>
        <v>AGRUPADOR 2</v>
      </c>
      <c r="I182" t="str">
        <f>_xlfn.IFNA(+VLOOKUP(G182,Agrupacion!A:C,3,0),"")</f>
        <v>CABA SUR</v>
      </c>
      <c r="K182" t="s">
        <v>286</v>
      </c>
      <c r="M182" t="s">
        <v>8</v>
      </c>
    </row>
    <row r="183" spans="1:13" x14ac:dyDescent="0.2">
      <c r="A183">
        <v>185</v>
      </c>
      <c r="B183" t="s">
        <v>2369</v>
      </c>
      <c r="C183">
        <v>1</v>
      </c>
      <c r="D183" t="s">
        <v>287</v>
      </c>
      <c r="F183" t="s">
        <v>288</v>
      </c>
      <c r="G183" t="s">
        <v>249</v>
      </c>
      <c r="H183" t="str">
        <f>_xlfn.IFNA(+VLOOKUP(G183,Agrupacion!A:B,2,0),"")</f>
        <v>AGRUPADOR 2</v>
      </c>
      <c r="I183" t="str">
        <f>_xlfn.IFNA(+VLOOKUP(G183,Agrupacion!A:C,3,0),"")</f>
        <v>CABA SUR</v>
      </c>
      <c r="J183" t="s">
        <v>15</v>
      </c>
      <c r="M183" t="s">
        <v>8</v>
      </c>
    </row>
    <row r="184" spans="1:13" x14ac:dyDescent="0.2">
      <c r="A184">
        <v>186</v>
      </c>
      <c r="B184" t="s">
        <v>2370</v>
      </c>
      <c r="C184">
        <v>1</v>
      </c>
      <c r="D184" t="s">
        <v>289</v>
      </c>
      <c r="E184" t="s">
        <v>96</v>
      </c>
      <c r="F184" t="s">
        <v>290</v>
      </c>
      <c r="G184" t="s">
        <v>155</v>
      </c>
      <c r="H184" t="str">
        <f>_xlfn.IFNA(+VLOOKUP(G184,Agrupacion!A:B,2,0),"")</f>
        <v>AGRUPADOR 4</v>
      </c>
      <c r="I184" t="str">
        <f>_xlfn.IFNA(+VLOOKUP(G184,Agrupacion!A:C,3,0),"")</f>
        <v>GBA SUR</v>
      </c>
      <c r="J184" t="s">
        <v>156</v>
      </c>
      <c r="M184" t="s">
        <v>8</v>
      </c>
    </row>
    <row r="185" spans="1:13" x14ac:dyDescent="0.2">
      <c r="A185">
        <v>187</v>
      </c>
      <c r="B185" t="s">
        <v>2371</v>
      </c>
      <c r="C185">
        <v>1</v>
      </c>
      <c r="D185" t="s">
        <v>291</v>
      </c>
      <c r="E185" t="s">
        <v>10</v>
      </c>
      <c r="F185" t="s">
        <v>292</v>
      </c>
      <c r="G185" t="s">
        <v>396</v>
      </c>
      <c r="H185" t="str">
        <f>_xlfn.IFNA(+VLOOKUP(G185,Agrupacion!A:B,2,0),"")</f>
        <v>AGRUPADOR 3</v>
      </c>
      <c r="I185" t="str">
        <f>_xlfn.IFNA(+VLOOKUP(G185,Agrupacion!A:C,3,0),"")</f>
        <v>CABA SUR II</v>
      </c>
      <c r="J185" t="s">
        <v>15</v>
      </c>
      <c r="K185" t="s">
        <v>293</v>
      </c>
      <c r="M185" t="s">
        <v>8</v>
      </c>
    </row>
    <row r="186" spans="1:13" x14ac:dyDescent="0.2">
      <c r="A186">
        <v>188</v>
      </c>
      <c r="B186" t="s">
        <v>2372</v>
      </c>
      <c r="C186">
        <v>1</v>
      </c>
      <c r="D186" t="s">
        <v>294</v>
      </c>
      <c r="E186" t="s">
        <v>10</v>
      </c>
      <c r="F186" t="s">
        <v>295</v>
      </c>
      <c r="G186" t="s">
        <v>48</v>
      </c>
      <c r="H186" t="str">
        <f>_xlfn.IFNA(+VLOOKUP(G186,Agrupacion!A:B,2,0),"")</f>
        <v>AGRUPADOR 2</v>
      </c>
      <c r="I186" t="str">
        <f>_xlfn.IFNA(+VLOOKUP(G186,Agrupacion!A:C,3,0),"")</f>
        <v>CABA SUR</v>
      </c>
      <c r="J186" t="s">
        <v>15</v>
      </c>
      <c r="K186" t="s">
        <v>296</v>
      </c>
      <c r="M186" t="s">
        <v>8</v>
      </c>
    </row>
    <row r="187" spans="1:13" x14ac:dyDescent="0.2">
      <c r="A187">
        <v>189</v>
      </c>
      <c r="B187" t="s">
        <v>2373</v>
      </c>
      <c r="C187">
        <v>1</v>
      </c>
      <c r="D187" t="s">
        <v>297</v>
      </c>
      <c r="F187" t="s">
        <v>298</v>
      </c>
      <c r="G187" t="s">
        <v>249</v>
      </c>
      <c r="H187" t="str">
        <f>_xlfn.IFNA(+VLOOKUP(G187,Agrupacion!A:B,2,0),"")</f>
        <v>AGRUPADOR 2</v>
      </c>
      <c r="I187" t="str">
        <f>_xlfn.IFNA(+VLOOKUP(G187,Agrupacion!A:C,3,0),"")</f>
        <v>CABA SUR</v>
      </c>
      <c r="J187" t="s">
        <v>15</v>
      </c>
      <c r="K187" t="s">
        <v>299</v>
      </c>
      <c r="M187" t="s">
        <v>8</v>
      </c>
    </row>
    <row r="188" spans="1:13" x14ac:dyDescent="0.2">
      <c r="A188">
        <v>190</v>
      </c>
      <c r="B188" t="s">
        <v>2374</v>
      </c>
      <c r="C188">
        <v>1</v>
      </c>
      <c r="D188" t="s">
        <v>304</v>
      </c>
      <c r="E188" t="s">
        <v>10</v>
      </c>
      <c r="F188" t="s">
        <v>305</v>
      </c>
      <c r="G188" t="s">
        <v>170</v>
      </c>
      <c r="H188" t="str">
        <f>_xlfn.IFNA(+VLOOKUP(G188,Agrupacion!A:B,2,0),"")</f>
        <v>AGRUPADOR 2</v>
      </c>
      <c r="I188" t="str">
        <f>_xlfn.IFNA(+VLOOKUP(G188,Agrupacion!A:C,3,0),"")</f>
        <v>CABA SUR</v>
      </c>
      <c r="J188" t="s">
        <v>15</v>
      </c>
      <c r="K188" t="s">
        <v>306</v>
      </c>
      <c r="M188" t="s">
        <v>8</v>
      </c>
    </row>
    <row r="189" spans="1:13" x14ac:dyDescent="0.2">
      <c r="A189">
        <v>191</v>
      </c>
      <c r="B189" t="s">
        <v>2375</v>
      </c>
      <c r="C189">
        <v>1</v>
      </c>
      <c r="D189" t="s">
        <v>307</v>
      </c>
      <c r="F189" t="s">
        <v>308</v>
      </c>
      <c r="G189" t="s">
        <v>309</v>
      </c>
      <c r="H189" t="str">
        <f>_xlfn.IFNA(+VLOOKUP(G189,Agrupacion!A:B,2,0),"")</f>
        <v>AGRUPADOR 8</v>
      </c>
      <c r="I189" t="str">
        <f>_xlfn.IFNA(+VLOOKUP(G189,Agrupacion!A:C,3,0),"")</f>
        <v>GBA NORTE</v>
      </c>
      <c r="J189" t="s">
        <v>310</v>
      </c>
      <c r="M189" t="s">
        <v>8</v>
      </c>
    </row>
    <row r="190" spans="1:13" x14ac:dyDescent="0.2">
      <c r="A190">
        <v>192</v>
      </c>
      <c r="B190" t="s">
        <v>2376</v>
      </c>
      <c r="C190">
        <v>1</v>
      </c>
      <c r="D190" t="s">
        <v>311</v>
      </c>
      <c r="E190" t="s">
        <v>10</v>
      </c>
      <c r="F190" t="s">
        <v>312</v>
      </c>
      <c r="G190" t="s">
        <v>396</v>
      </c>
      <c r="H190" t="str">
        <f>_xlfn.IFNA(+VLOOKUP(G190,Agrupacion!A:B,2,0),"")</f>
        <v>AGRUPADOR 3</v>
      </c>
      <c r="I190" t="str">
        <f>_xlfn.IFNA(+VLOOKUP(G190,Agrupacion!A:C,3,0),"")</f>
        <v>CABA SUR II</v>
      </c>
      <c r="J190" t="s">
        <v>15</v>
      </c>
      <c r="K190" t="s">
        <v>313</v>
      </c>
      <c r="M190" t="s">
        <v>8</v>
      </c>
    </row>
    <row r="191" spans="1:13" x14ac:dyDescent="0.2">
      <c r="A191">
        <v>193</v>
      </c>
      <c r="B191" t="s">
        <v>2377</v>
      </c>
      <c r="C191">
        <v>1</v>
      </c>
      <c r="D191" t="s">
        <v>314</v>
      </c>
      <c r="E191" t="s">
        <v>10</v>
      </c>
      <c r="F191" t="s">
        <v>315</v>
      </c>
      <c r="G191" t="s">
        <v>170</v>
      </c>
      <c r="H191" t="str">
        <f>_xlfn.IFNA(+VLOOKUP(G191,Agrupacion!A:B,2,0),"")</f>
        <v>AGRUPADOR 2</v>
      </c>
      <c r="I191" t="str">
        <f>_xlfn.IFNA(+VLOOKUP(G191,Agrupacion!A:C,3,0),"")</f>
        <v>CABA SUR</v>
      </c>
      <c r="J191" t="s">
        <v>244</v>
      </c>
      <c r="M191" t="s">
        <v>8</v>
      </c>
    </row>
    <row r="192" spans="1:13" x14ac:dyDescent="0.2">
      <c r="A192">
        <v>195</v>
      </c>
      <c r="B192" t="s">
        <v>2378</v>
      </c>
      <c r="C192">
        <v>1</v>
      </c>
      <c r="D192" t="s">
        <v>316</v>
      </c>
      <c r="E192" t="s">
        <v>10</v>
      </c>
      <c r="F192" t="s">
        <v>317</v>
      </c>
      <c r="G192" t="s">
        <v>396</v>
      </c>
      <c r="H192" t="str">
        <f>_xlfn.IFNA(+VLOOKUP(G192,Agrupacion!A:B,2,0),"")</f>
        <v>AGRUPADOR 3</v>
      </c>
      <c r="I192" t="str">
        <f>_xlfn.IFNA(+VLOOKUP(G192,Agrupacion!A:C,3,0),"")</f>
        <v>CABA SUR II</v>
      </c>
      <c r="J192" t="s">
        <v>15</v>
      </c>
      <c r="M192" t="s">
        <v>8</v>
      </c>
    </row>
    <row r="193" spans="1:13" x14ac:dyDescent="0.2">
      <c r="A193">
        <v>196</v>
      </c>
      <c r="B193" t="s">
        <v>2379</v>
      </c>
      <c r="C193">
        <v>1</v>
      </c>
      <c r="D193" t="s">
        <v>318</v>
      </c>
      <c r="E193" t="s">
        <v>10</v>
      </c>
      <c r="F193" t="s">
        <v>319</v>
      </c>
      <c r="G193" t="s">
        <v>2698</v>
      </c>
      <c r="H193" t="str">
        <f>_xlfn.IFNA(+VLOOKUP(G193,Agrupacion!A:B,2,0),"")</f>
        <v>AGRUPADOR 1</v>
      </c>
      <c r="I193" t="str">
        <f>_xlfn.IFNA(+VLOOKUP(G193,Agrupacion!A:C,3,0),"")</f>
        <v>CABA NORTE</v>
      </c>
      <c r="J193" t="s">
        <v>320</v>
      </c>
      <c r="M193" t="s">
        <v>8</v>
      </c>
    </row>
    <row r="194" spans="1:13" x14ac:dyDescent="0.2">
      <c r="A194">
        <v>197</v>
      </c>
      <c r="B194" t="s">
        <v>2380</v>
      </c>
      <c r="C194">
        <v>1</v>
      </c>
      <c r="D194" t="s">
        <v>321</v>
      </c>
      <c r="E194" t="s">
        <v>10</v>
      </c>
      <c r="F194" t="s">
        <v>322</v>
      </c>
      <c r="G194" t="s">
        <v>396</v>
      </c>
      <c r="H194" t="str">
        <f>_xlfn.IFNA(+VLOOKUP(G194,Agrupacion!A:B,2,0),"")</f>
        <v>AGRUPADOR 3</v>
      </c>
      <c r="I194" t="str">
        <f>_xlfn.IFNA(+VLOOKUP(G194,Agrupacion!A:C,3,0),"")</f>
        <v>CABA SUR II</v>
      </c>
      <c r="J194" t="s">
        <v>15</v>
      </c>
      <c r="K194" t="s">
        <v>323</v>
      </c>
      <c r="M194" t="s">
        <v>8</v>
      </c>
    </row>
    <row r="195" spans="1:13" x14ac:dyDescent="0.2">
      <c r="A195">
        <v>198</v>
      </c>
      <c r="B195" t="s">
        <v>2381</v>
      </c>
      <c r="C195">
        <v>1</v>
      </c>
      <c r="D195" t="s">
        <v>324</v>
      </c>
      <c r="E195" t="s">
        <v>10</v>
      </c>
      <c r="F195" t="s">
        <v>325</v>
      </c>
      <c r="G195" t="s">
        <v>396</v>
      </c>
      <c r="H195" t="str">
        <f>_xlfn.IFNA(+VLOOKUP(G195,Agrupacion!A:B,2,0),"")</f>
        <v>AGRUPADOR 3</v>
      </c>
      <c r="I195" t="str">
        <f>_xlfn.IFNA(+VLOOKUP(G195,Agrupacion!A:C,3,0),"")</f>
        <v>CABA SUR II</v>
      </c>
      <c r="J195" t="s">
        <v>15</v>
      </c>
      <c r="K195" t="s">
        <v>326</v>
      </c>
      <c r="M195" t="s">
        <v>8</v>
      </c>
    </row>
    <row r="196" spans="1:13" x14ac:dyDescent="0.2">
      <c r="A196">
        <v>199</v>
      </c>
      <c r="B196" t="s">
        <v>2382</v>
      </c>
      <c r="C196">
        <v>1</v>
      </c>
      <c r="D196" t="s">
        <v>327</v>
      </c>
      <c r="E196" t="s">
        <v>10</v>
      </c>
      <c r="F196" t="s">
        <v>328</v>
      </c>
      <c r="G196" t="s">
        <v>396</v>
      </c>
      <c r="H196" t="str">
        <f>_xlfn.IFNA(+VLOOKUP(G196,Agrupacion!A:B,2,0),"")</f>
        <v>AGRUPADOR 3</v>
      </c>
      <c r="I196" t="str">
        <f>_xlfn.IFNA(+VLOOKUP(G196,Agrupacion!A:C,3,0),"")</f>
        <v>CABA SUR II</v>
      </c>
      <c r="J196" t="s">
        <v>15</v>
      </c>
      <c r="M196" t="s">
        <v>8</v>
      </c>
    </row>
    <row r="197" spans="1:13" x14ac:dyDescent="0.2">
      <c r="A197">
        <v>200</v>
      </c>
      <c r="B197" t="s">
        <v>2383</v>
      </c>
      <c r="C197">
        <v>1</v>
      </c>
      <c r="D197" t="s">
        <v>336</v>
      </c>
      <c r="E197" t="s">
        <v>96</v>
      </c>
      <c r="F197" t="s">
        <v>337</v>
      </c>
      <c r="G197" t="s">
        <v>338</v>
      </c>
      <c r="H197" t="str">
        <f>_xlfn.IFNA(+VLOOKUP(G197,Agrupacion!A:B,2,0),"")</f>
        <v>AGRUPADOR 8</v>
      </c>
      <c r="I197" t="str">
        <f>_xlfn.IFNA(+VLOOKUP(G197,Agrupacion!A:C,3,0),"")</f>
        <v>GBA NORTE</v>
      </c>
      <c r="M197" t="s">
        <v>8</v>
      </c>
    </row>
    <row r="198" spans="1:13" x14ac:dyDescent="0.2">
      <c r="A198">
        <v>201</v>
      </c>
      <c r="B198" t="s">
        <v>2384</v>
      </c>
      <c r="C198">
        <v>1</v>
      </c>
      <c r="D198" t="s">
        <v>339</v>
      </c>
      <c r="E198" t="s">
        <v>10</v>
      </c>
      <c r="F198" t="s">
        <v>340</v>
      </c>
      <c r="G198" t="s">
        <v>170</v>
      </c>
      <c r="H198" t="str">
        <f>_xlfn.IFNA(+VLOOKUP(G198,Agrupacion!A:B,2,0),"")</f>
        <v>AGRUPADOR 2</v>
      </c>
      <c r="I198" t="str">
        <f>_xlfn.IFNA(+VLOOKUP(G198,Agrupacion!A:C,3,0),"")</f>
        <v>CABA SUR</v>
      </c>
      <c r="J198" t="s">
        <v>115</v>
      </c>
      <c r="M198" t="s">
        <v>8</v>
      </c>
    </row>
    <row r="199" spans="1:13" x14ac:dyDescent="0.2">
      <c r="A199">
        <v>202</v>
      </c>
      <c r="B199" t="s">
        <v>2385</v>
      </c>
      <c r="C199">
        <v>1</v>
      </c>
      <c r="D199" t="s">
        <v>341</v>
      </c>
      <c r="E199" t="s">
        <v>10</v>
      </c>
      <c r="F199" t="s">
        <v>342</v>
      </c>
      <c r="G199" t="s">
        <v>201</v>
      </c>
      <c r="H199" t="str">
        <f>_xlfn.IFNA(+VLOOKUP(G199,Agrupacion!A:B,2,0),"")</f>
        <v>AGRUPADOR 2</v>
      </c>
      <c r="I199" t="str">
        <f>_xlfn.IFNA(+VLOOKUP(G199,Agrupacion!A:C,3,0),"")</f>
        <v>CABA SUR</v>
      </c>
      <c r="M199" t="s">
        <v>8</v>
      </c>
    </row>
    <row r="200" spans="1:13" x14ac:dyDescent="0.2">
      <c r="A200">
        <v>203</v>
      </c>
      <c r="B200" t="s">
        <v>2386</v>
      </c>
      <c r="C200">
        <v>1</v>
      </c>
      <c r="D200" t="s">
        <v>343</v>
      </c>
      <c r="F200" t="s">
        <v>344</v>
      </c>
      <c r="G200" t="s">
        <v>201</v>
      </c>
      <c r="H200" t="str">
        <f>_xlfn.IFNA(+VLOOKUP(G200,Agrupacion!A:B,2,0),"")</f>
        <v>AGRUPADOR 2</v>
      </c>
      <c r="I200" t="str">
        <f>_xlfn.IFNA(+VLOOKUP(G200,Agrupacion!A:C,3,0),"")</f>
        <v>CABA SUR</v>
      </c>
      <c r="K200" t="s">
        <v>345</v>
      </c>
      <c r="M200" t="s">
        <v>8</v>
      </c>
    </row>
    <row r="201" spans="1:13" x14ac:dyDescent="0.2">
      <c r="A201">
        <v>204</v>
      </c>
      <c r="B201" t="s">
        <v>2387</v>
      </c>
      <c r="C201">
        <v>1</v>
      </c>
      <c r="D201" t="s">
        <v>346</v>
      </c>
      <c r="E201" t="s">
        <v>10</v>
      </c>
      <c r="F201" t="s">
        <v>347</v>
      </c>
      <c r="G201" t="s">
        <v>366</v>
      </c>
      <c r="H201" t="str">
        <f>_xlfn.IFNA(+VLOOKUP(G201,Agrupacion!A:B,2,0),"")</f>
        <v>AGRUPADOR 1</v>
      </c>
      <c r="I201" t="str">
        <f>_xlfn.IFNA(+VLOOKUP(G201,Agrupacion!A:C,3,0),"")</f>
        <v>CABA NORTE</v>
      </c>
      <c r="M201" t="s">
        <v>8</v>
      </c>
    </row>
    <row r="202" spans="1:13" x14ac:dyDescent="0.2">
      <c r="A202">
        <v>205</v>
      </c>
      <c r="B202" t="s">
        <v>2388</v>
      </c>
      <c r="C202">
        <v>1</v>
      </c>
      <c r="D202" t="s">
        <v>348</v>
      </c>
      <c r="E202" t="s">
        <v>10</v>
      </c>
      <c r="F202" t="s">
        <v>349</v>
      </c>
      <c r="G202" t="s">
        <v>842</v>
      </c>
      <c r="H202" t="str">
        <f>_xlfn.IFNA(+VLOOKUP(G202,Agrupacion!A:B,2,0),"")</f>
        <v>AGRUPADOR 1</v>
      </c>
      <c r="I202" t="str">
        <f>_xlfn.IFNA(+VLOOKUP(G202,Agrupacion!A:C,3,0),"")</f>
        <v>CABA NORTE</v>
      </c>
      <c r="J202" t="s">
        <v>29</v>
      </c>
      <c r="K202" t="s">
        <v>350</v>
      </c>
      <c r="M202" t="s">
        <v>8</v>
      </c>
    </row>
    <row r="203" spans="1:13" x14ac:dyDescent="0.2">
      <c r="A203">
        <v>206</v>
      </c>
      <c r="B203" t="s">
        <v>2389</v>
      </c>
      <c r="C203">
        <v>1</v>
      </c>
      <c r="D203" t="s">
        <v>351</v>
      </c>
      <c r="E203" t="s">
        <v>10</v>
      </c>
      <c r="F203" t="s">
        <v>352</v>
      </c>
      <c r="G203" t="s">
        <v>1192</v>
      </c>
      <c r="H203" t="str">
        <f>_xlfn.IFNA(+VLOOKUP(G203,Agrupacion!A:B,2,0),"")</f>
        <v>AGRUPADOR 3</v>
      </c>
      <c r="I203" t="str">
        <f>_xlfn.IFNA(+VLOOKUP(G203,Agrupacion!A:C,3,0),"")</f>
        <v>CABA SUR II</v>
      </c>
      <c r="M203" t="s">
        <v>8</v>
      </c>
    </row>
    <row r="204" spans="1:13" x14ac:dyDescent="0.2">
      <c r="A204">
        <v>207</v>
      </c>
      <c r="B204" t="s">
        <v>2390</v>
      </c>
      <c r="C204">
        <v>1</v>
      </c>
      <c r="D204" t="s">
        <v>353</v>
      </c>
      <c r="E204" t="s">
        <v>10</v>
      </c>
      <c r="F204" t="s">
        <v>354</v>
      </c>
      <c r="G204" t="s">
        <v>396</v>
      </c>
      <c r="H204" t="str">
        <f>_xlfn.IFNA(+VLOOKUP(G204,Agrupacion!A:B,2,0),"")</f>
        <v>AGRUPADOR 3</v>
      </c>
      <c r="I204" t="str">
        <f>_xlfn.IFNA(+VLOOKUP(G204,Agrupacion!A:C,3,0),"")</f>
        <v>CABA SUR II</v>
      </c>
      <c r="M204" t="s">
        <v>8</v>
      </c>
    </row>
    <row r="205" spans="1:13" x14ac:dyDescent="0.2">
      <c r="A205">
        <v>208</v>
      </c>
      <c r="B205" t="s">
        <v>2391</v>
      </c>
      <c r="C205">
        <v>1</v>
      </c>
      <c r="D205" t="s">
        <v>355</v>
      </c>
      <c r="F205" t="s">
        <v>356</v>
      </c>
      <c r="G205" t="s">
        <v>357</v>
      </c>
      <c r="H205" t="str">
        <f>_xlfn.IFNA(+VLOOKUP(G205,Agrupacion!A:B,2,0),"")</f>
        <v>AGRUPADOR 3</v>
      </c>
      <c r="I205" t="str">
        <f>_xlfn.IFNA(+VLOOKUP(G205,Agrupacion!A:C,3,0),"")</f>
        <v>CABA SUR II</v>
      </c>
      <c r="M205" t="s">
        <v>8</v>
      </c>
    </row>
    <row r="206" spans="1:13" x14ac:dyDescent="0.2">
      <c r="A206">
        <v>209</v>
      </c>
      <c r="B206" t="s">
        <v>2392</v>
      </c>
      <c r="C206">
        <v>1</v>
      </c>
      <c r="D206" t="s">
        <v>358</v>
      </c>
      <c r="E206" t="s">
        <v>10</v>
      </c>
      <c r="F206" t="s">
        <v>359</v>
      </c>
      <c r="G206" t="s">
        <v>396</v>
      </c>
      <c r="H206" t="str">
        <f>_xlfn.IFNA(+VLOOKUP(G206,Agrupacion!A:B,2,0),"")</f>
        <v>AGRUPADOR 3</v>
      </c>
      <c r="I206" t="str">
        <f>_xlfn.IFNA(+VLOOKUP(G206,Agrupacion!A:C,3,0),"")</f>
        <v>CABA SUR II</v>
      </c>
      <c r="K206" t="s">
        <v>360</v>
      </c>
      <c r="M206" t="s">
        <v>8</v>
      </c>
    </row>
    <row r="207" spans="1:13" x14ac:dyDescent="0.2">
      <c r="A207">
        <v>210</v>
      </c>
      <c r="B207" t="s">
        <v>2393</v>
      </c>
      <c r="C207">
        <v>1</v>
      </c>
      <c r="D207" t="s">
        <v>364</v>
      </c>
      <c r="F207" t="s">
        <v>365</v>
      </c>
      <c r="G207" t="s">
        <v>366</v>
      </c>
      <c r="H207" t="str">
        <f>_xlfn.IFNA(+VLOOKUP(G207,Agrupacion!A:B,2,0),"")</f>
        <v>AGRUPADOR 1</v>
      </c>
      <c r="I207" t="str">
        <f>_xlfn.IFNA(+VLOOKUP(G207,Agrupacion!A:C,3,0),"")</f>
        <v>CABA NORTE</v>
      </c>
      <c r="M207" t="s">
        <v>8</v>
      </c>
    </row>
    <row r="208" spans="1:13" x14ac:dyDescent="0.2">
      <c r="A208">
        <v>211</v>
      </c>
      <c r="B208" t="s">
        <v>2394</v>
      </c>
      <c r="C208">
        <v>1</v>
      </c>
      <c r="D208" t="s">
        <v>367</v>
      </c>
      <c r="E208" t="s">
        <v>10</v>
      </c>
      <c r="F208" t="s">
        <v>368</v>
      </c>
      <c r="G208" t="s">
        <v>170</v>
      </c>
      <c r="H208" t="str">
        <f>_xlfn.IFNA(+VLOOKUP(G208,Agrupacion!A:B,2,0),"")</f>
        <v>AGRUPADOR 2</v>
      </c>
      <c r="I208" t="str">
        <f>_xlfn.IFNA(+VLOOKUP(G208,Agrupacion!A:C,3,0),"")</f>
        <v>CABA SUR</v>
      </c>
      <c r="J208" t="s">
        <v>160</v>
      </c>
      <c r="K208" t="s">
        <v>161</v>
      </c>
      <c r="M208" t="s">
        <v>8</v>
      </c>
    </row>
    <row r="209" spans="1:13" x14ac:dyDescent="0.2">
      <c r="A209">
        <v>212</v>
      </c>
      <c r="B209" t="s">
        <v>2395</v>
      </c>
      <c r="C209">
        <v>1</v>
      </c>
      <c r="D209" t="s">
        <v>369</v>
      </c>
      <c r="E209" t="s">
        <v>10</v>
      </c>
      <c r="F209" t="s">
        <v>370</v>
      </c>
      <c r="G209" t="s">
        <v>396</v>
      </c>
      <c r="H209" t="str">
        <f>_xlfn.IFNA(+VLOOKUP(G209,Agrupacion!A:B,2,0),"")</f>
        <v>AGRUPADOR 3</v>
      </c>
      <c r="I209" t="str">
        <f>_xlfn.IFNA(+VLOOKUP(G209,Agrupacion!A:C,3,0),"")</f>
        <v>CABA SUR II</v>
      </c>
      <c r="J209" t="s">
        <v>15</v>
      </c>
      <c r="K209" t="s">
        <v>371</v>
      </c>
      <c r="M209" t="s">
        <v>8</v>
      </c>
    </row>
    <row r="210" spans="1:13" x14ac:dyDescent="0.2">
      <c r="A210">
        <v>213</v>
      </c>
      <c r="B210" t="s">
        <v>2396</v>
      </c>
      <c r="C210">
        <v>1</v>
      </c>
      <c r="D210" t="s">
        <v>372</v>
      </c>
      <c r="E210" t="s">
        <v>10</v>
      </c>
      <c r="F210" t="s">
        <v>373</v>
      </c>
      <c r="G210" t="s">
        <v>249</v>
      </c>
      <c r="H210" t="str">
        <f>_xlfn.IFNA(+VLOOKUP(G210,Agrupacion!A:B,2,0),"")</f>
        <v>AGRUPADOR 2</v>
      </c>
      <c r="I210" t="str">
        <f>_xlfn.IFNA(+VLOOKUP(G210,Agrupacion!A:C,3,0),"")</f>
        <v>CABA SUR</v>
      </c>
      <c r="J210" t="s">
        <v>15</v>
      </c>
      <c r="K210" t="s">
        <v>374</v>
      </c>
      <c r="M210" t="s">
        <v>8</v>
      </c>
    </row>
    <row r="211" spans="1:13" x14ac:dyDescent="0.2">
      <c r="A211">
        <v>214</v>
      </c>
      <c r="B211" t="s">
        <v>2397</v>
      </c>
      <c r="C211">
        <v>1</v>
      </c>
      <c r="D211" t="s">
        <v>248</v>
      </c>
      <c r="F211" t="s">
        <v>125</v>
      </c>
      <c r="G211" t="s">
        <v>249</v>
      </c>
      <c r="H211" t="str">
        <f>_xlfn.IFNA(+VLOOKUP(G211,Agrupacion!A:B,2,0),"")</f>
        <v>AGRUPADOR 2</v>
      </c>
      <c r="I211" t="str">
        <f>_xlfn.IFNA(+VLOOKUP(G211,Agrupacion!A:C,3,0),"")</f>
        <v>CABA SUR</v>
      </c>
      <c r="J211" t="s">
        <v>15</v>
      </c>
      <c r="M211" t="s">
        <v>8</v>
      </c>
    </row>
    <row r="212" spans="1:13" x14ac:dyDescent="0.2">
      <c r="A212">
        <v>215</v>
      </c>
      <c r="B212" t="s">
        <v>2398</v>
      </c>
      <c r="C212">
        <v>1</v>
      </c>
      <c r="D212" t="s">
        <v>375</v>
      </c>
      <c r="F212" t="s">
        <v>376</v>
      </c>
      <c r="G212" t="s">
        <v>48</v>
      </c>
      <c r="H212" t="str">
        <f>_xlfn.IFNA(+VLOOKUP(G212,Agrupacion!A:B,2,0),"")</f>
        <v>AGRUPADOR 2</v>
      </c>
      <c r="I212" t="str">
        <f>_xlfn.IFNA(+VLOOKUP(G212,Agrupacion!A:C,3,0),"")</f>
        <v>CABA SUR</v>
      </c>
      <c r="J212" t="s">
        <v>195</v>
      </c>
      <c r="K212" t="s">
        <v>377</v>
      </c>
      <c r="M212" t="s">
        <v>8</v>
      </c>
    </row>
    <row r="213" spans="1:13" x14ac:dyDescent="0.2">
      <c r="A213">
        <v>216</v>
      </c>
      <c r="B213" t="s">
        <v>2519</v>
      </c>
      <c r="C213">
        <v>1</v>
      </c>
      <c r="D213" t="s">
        <v>378</v>
      </c>
      <c r="E213" t="s">
        <v>10</v>
      </c>
      <c r="F213" t="s">
        <v>379</v>
      </c>
      <c r="G213" t="s">
        <v>396</v>
      </c>
      <c r="H213" t="str">
        <f>_xlfn.IFNA(+VLOOKUP(G213,Agrupacion!A:B,2,0),"")</f>
        <v>AGRUPADOR 3</v>
      </c>
      <c r="I213" t="str">
        <f>_xlfn.IFNA(+VLOOKUP(G213,Agrupacion!A:C,3,0),"")</f>
        <v>CABA SUR II</v>
      </c>
      <c r="J213" t="s">
        <v>15</v>
      </c>
      <c r="K213" t="s">
        <v>380</v>
      </c>
      <c r="M213" t="s">
        <v>8</v>
      </c>
    </row>
    <row r="214" spans="1:13" x14ac:dyDescent="0.2">
      <c r="A214">
        <v>217</v>
      </c>
      <c r="B214" t="s">
        <v>2520</v>
      </c>
      <c r="C214">
        <v>1</v>
      </c>
      <c r="D214" t="s">
        <v>381</v>
      </c>
      <c r="E214" t="s">
        <v>10</v>
      </c>
      <c r="F214" t="s">
        <v>382</v>
      </c>
      <c r="G214" t="s">
        <v>549</v>
      </c>
      <c r="H214" t="str">
        <f>_xlfn.IFNA(+VLOOKUP(G214,Agrupacion!A:B,2,0),"")</f>
        <v>AGRUPADOR 1</v>
      </c>
      <c r="I214" t="str">
        <f>_xlfn.IFNA(+VLOOKUP(G214,Agrupacion!A:C,3,0),"")</f>
        <v>CABA NORTE</v>
      </c>
      <c r="M214" t="s">
        <v>8</v>
      </c>
    </row>
    <row r="215" spans="1:13" x14ac:dyDescent="0.2">
      <c r="A215">
        <v>218</v>
      </c>
      <c r="B215" t="s">
        <v>2521</v>
      </c>
      <c r="C215">
        <v>1</v>
      </c>
      <c r="D215" t="s">
        <v>383</v>
      </c>
      <c r="E215" t="s">
        <v>96</v>
      </c>
      <c r="F215" t="s">
        <v>384</v>
      </c>
      <c r="G215" t="s">
        <v>201</v>
      </c>
      <c r="H215" t="str">
        <f>_xlfn.IFNA(+VLOOKUP(G215,Agrupacion!A:B,2,0),"")</f>
        <v>AGRUPADOR 2</v>
      </c>
      <c r="I215" t="str">
        <f>_xlfn.IFNA(+VLOOKUP(G215,Agrupacion!A:C,3,0),"")</f>
        <v>CABA SUR</v>
      </c>
      <c r="J215" t="s">
        <v>386</v>
      </c>
      <c r="K215" t="s">
        <v>387</v>
      </c>
      <c r="L215" t="s">
        <v>388</v>
      </c>
      <c r="M215" t="s">
        <v>8</v>
      </c>
    </row>
    <row r="216" spans="1:13" x14ac:dyDescent="0.2">
      <c r="A216">
        <v>219</v>
      </c>
      <c r="B216" t="s">
        <v>2522</v>
      </c>
      <c r="C216">
        <v>1</v>
      </c>
      <c r="D216" t="s">
        <v>389</v>
      </c>
      <c r="E216" t="s">
        <v>10</v>
      </c>
      <c r="F216" t="s">
        <v>390</v>
      </c>
      <c r="G216" t="s">
        <v>170</v>
      </c>
      <c r="H216" t="str">
        <f>_xlfn.IFNA(+VLOOKUP(G216,Agrupacion!A:B,2,0),"")</f>
        <v>AGRUPADOR 2</v>
      </c>
      <c r="I216" t="str">
        <f>_xlfn.IFNA(+VLOOKUP(G216,Agrupacion!A:C,3,0),"")</f>
        <v>CABA SUR</v>
      </c>
      <c r="J216" t="s">
        <v>15</v>
      </c>
      <c r="K216" t="s">
        <v>391</v>
      </c>
      <c r="M216" t="s">
        <v>8</v>
      </c>
    </row>
    <row r="217" spans="1:13" x14ac:dyDescent="0.2">
      <c r="A217">
        <v>220</v>
      </c>
      <c r="B217" t="s">
        <v>2238</v>
      </c>
      <c r="C217">
        <v>1</v>
      </c>
      <c r="D217" t="s">
        <v>394</v>
      </c>
      <c r="F217" t="s">
        <v>395</v>
      </c>
      <c r="G217" t="s">
        <v>396</v>
      </c>
      <c r="H217" t="str">
        <f>_xlfn.IFNA(+VLOOKUP(G217,Agrupacion!A:B,2,0),"")</f>
        <v>AGRUPADOR 3</v>
      </c>
      <c r="I217" t="str">
        <f>_xlfn.IFNA(+VLOOKUP(G217,Agrupacion!A:C,3,0),"")</f>
        <v>CABA SUR II</v>
      </c>
      <c r="M217" t="s">
        <v>8</v>
      </c>
    </row>
    <row r="218" spans="1:13" x14ac:dyDescent="0.2">
      <c r="A218">
        <v>221</v>
      </c>
      <c r="B218" t="s">
        <v>2239</v>
      </c>
      <c r="C218">
        <v>1</v>
      </c>
      <c r="D218" t="s">
        <v>397</v>
      </c>
      <c r="E218" t="s">
        <v>10</v>
      </c>
      <c r="F218" t="s">
        <v>398</v>
      </c>
      <c r="G218" t="s">
        <v>842</v>
      </c>
      <c r="H218" t="str">
        <f>_xlfn.IFNA(+VLOOKUP(G218,Agrupacion!A:B,2,0),"")</f>
        <v>AGRUPADOR 1</v>
      </c>
      <c r="I218" t="str">
        <f>_xlfn.IFNA(+VLOOKUP(G218,Agrupacion!A:C,3,0),"")</f>
        <v>CABA NORTE</v>
      </c>
      <c r="K218" t="s">
        <v>399</v>
      </c>
      <c r="M218" t="s">
        <v>8</v>
      </c>
    </row>
    <row r="219" spans="1:13" x14ac:dyDescent="0.2">
      <c r="A219">
        <v>222</v>
      </c>
      <c r="B219" t="s">
        <v>2240</v>
      </c>
      <c r="C219">
        <v>1</v>
      </c>
      <c r="D219" t="s">
        <v>400</v>
      </c>
      <c r="E219" t="s">
        <v>10</v>
      </c>
      <c r="F219" t="s">
        <v>401</v>
      </c>
      <c r="G219" t="s">
        <v>396</v>
      </c>
      <c r="H219" t="str">
        <f>_xlfn.IFNA(+VLOOKUP(G219,Agrupacion!A:B,2,0),"")</f>
        <v>AGRUPADOR 3</v>
      </c>
      <c r="I219" t="str">
        <f>_xlfn.IFNA(+VLOOKUP(G219,Agrupacion!A:C,3,0),"")</f>
        <v>CABA SUR II</v>
      </c>
      <c r="J219" t="s">
        <v>15</v>
      </c>
      <c r="M219" t="s">
        <v>8</v>
      </c>
    </row>
    <row r="220" spans="1:13" x14ac:dyDescent="0.2">
      <c r="A220">
        <v>223</v>
      </c>
      <c r="B220" t="s">
        <v>2241</v>
      </c>
      <c r="C220">
        <v>1</v>
      </c>
      <c r="D220" t="s">
        <v>402</v>
      </c>
      <c r="E220" t="s">
        <v>10</v>
      </c>
      <c r="F220" t="s">
        <v>403</v>
      </c>
      <c r="G220" t="s">
        <v>396</v>
      </c>
      <c r="H220" t="str">
        <f>_xlfn.IFNA(+VLOOKUP(G220,Agrupacion!A:B,2,0),"")</f>
        <v>AGRUPADOR 3</v>
      </c>
      <c r="I220" t="str">
        <f>_xlfn.IFNA(+VLOOKUP(G220,Agrupacion!A:C,3,0),"")</f>
        <v>CABA SUR II</v>
      </c>
      <c r="M220" t="s">
        <v>8</v>
      </c>
    </row>
    <row r="221" spans="1:13" x14ac:dyDescent="0.2">
      <c r="A221">
        <v>224</v>
      </c>
      <c r="B221" t="s">
        <v>2242</v>
      </c>
      <c r="C221">
        <v>1</v>
      </c>
      <c r="D221" t="s">
        <v>404</v>
      </c>
      <c r="E221" t="s">
        <v>96</v>
      </c>
      <c r="F221" t="s">
        <v>405</v>
      </c>
      <c r="G221" t="s">
        <v>396</v>
      </c>
      <c r="H221" t="str">
        <f>_xlfn.IFNA(+VLOOKUP(G221,Agrupacion!A:B,2,0),"")</f>
        <v>AGRUPADOR 3</v>
      </c>
      <c r="I221" t="str">
        <f>_xlfn.IFNA(+VLOOKUP(G221,Agrupacion!A:C,3,0),"")</f>
        <v>CABA SUR II</v>
      </c>
      <c r="K221" t="s">
        <v>406</v>
      </c>
      <c r="M221" t="s">
        <v>8</v>
      </c>
    </row>
    <row r="222" spans="1:13" x14ac:dyDescent="0.2">
      <c r="A222">
        <v>225</v>
      </c>
      <c r="B222" t="s">
        <v>2243</v>
      </c>
      <c r="C222">
        <v>1</v>
      </c>
      <c r="D222" t="s">
        <v>407</v>
      </c>
      <c r="E222" t="s">
        <v>10</v>
      </c>
      <c r="F222" t="s">
        <v>408</v>
      </c>
      <c r="G222" t="s">
        <v>366</v>
      </c>
      <c r="H222" t="str">
        <f>_xlfn.IFNA(+VLOOKUP(G222,Agrupacion!A:B,2,0),"")</f>
        <v>AGRUPADOR 1</v>
      </c>
      <c r="I222" t="str">
        <f>_xlfn.IFNA(+VLOOKUP(G222,Agrupacion!A:C,3,0),"")</f>
        <v>CABA NORTE</v>
      </c>
      <c r="J222" t="s">
        <v>320</v>
      </c>
      <c r="K222" t="s">
        <v>409</v>
      </c>
      <c r="M222" t="s">
        <v>8</v>
      </c>
    </row>
    <row r="223" spans="1:13" x14ac:dyDescent="0.2">
      <c r="A223">
        <v>226</v>
      </c>
      <c r="B223" t="s">
        <v>2244</v>
      </c>
      <c r="C223">
        <v>1</v>
      </c>
      <c r="D223" t="s">
        <v>410</v>
      </c>
      <c r="E223" t="s">
        <v>10</v>
      </c>
      <c r="F223" t="s">
        <v>411</v>
      </c>
      <c r="G223" t="s">
        <v>396</v>
      </c>
      <c r="H223" t="str">
        <f>_xlfn.IFNA(+VLOOKUP(G223,Agrupacion!A:B,2,0),"")</f>
        <v>AGRUPADOR 3</v>
      </c>
      <c r="I223" t="str">
        <f>_xlfn.IFNA(+VLOOKUP(G223,Agrupacion!A:C,3,0),"")</f>
        <v>CABA SUR II</v>
      </c>
      <c r="J223" t="s">
        <v>15</v>
      </c>
      <c r="K223" t="s">
        <v>412</v>
      </c>
      <c r="M223" t="s">
        <v>8</v>
      </c>
    </row>
    <row r="224" spans="1:13" x14ac:dyDescent="0.2">
      <c r="A224">
        <v>57</v>
      </c>
      <c r="B224" t="s">
        <v>2727</v>
      </c>
      <c r="D224" t="s">
        <v>2728</v>
      </c>
      <c r="F224" t="s">
        <v>2729</v>
      </c>
      <c r="G224" t="s">
        <v>249</v>
      </c>
      <c r="H224" t="str">
        <f>_xlfn.IFNA(+VLOOKUP(G224,Agrupacion!A:B,2,0),"")</f>
        <v>AGRUPADOR 2</v>
      </c>
      <c r="I224" t="str">
        <f>_xlfn.IFNA(+VLOOKUP(G224,Agrupacion!A:C,3,0),"")</f>
        <v>CABA SUR</v>
      </c>
      <c r="J224" t="s">
        <v>15</v>
      </c>
    </row>
    <row r="225" spans="1:13" x14ac:dyDescent="0.2">
      <c r="A225">
        <v>228</v>
      </c>
      <c r="B225" t="s">
        <v>2246</v>
      </c>
      <c r="C225">
        <v>1</v>
      </c>
      <c r="D225" t="s">
        <v>415</v>
      </c>
      <c r="E225" t="s">
        <v>10</v>
      </c>
      <c r="F225" t="s">
        <v>416</v>
      </c>
      <c r="G225" t="s">
        <v>549</v>
      </c>
      <c r="H225" t="str">
        <f>_xlfn.IFNA(+VLOOKUP(G225,Agrupacion!A:B,2,0),"")</f>
        <v>AGRUPADOR 1</v>
      </c>
      <c r="I225" t="str">
        <f>_xlfn.IFNA(+VLOOKUP(G225,Agrupacion!A:C,3,0),"")</f>
        <v>CABA NORTE</v>
      </c>
      <c r="K225" t="s">
        <v>417</v>
      </c>
      <c r="M225" t="s">
        <v>8</v>
      </c>
    </row>
    <row r="226" spans="1:13" x14ac:dyDescent="0.2">
      <c r="A226">
        <v>229</v>
      </c>
      <c r="B226" t="s">
        <v>2247</v>
      </c>
      <c r="C226">
        <v>1</v>
      </c>
      <c r="D226" t="s">
        <v>418</v>
      </c>
      <c r="E226" t="s">
        <v>10</v>
      </c>
      <c r="F226" t="s">
        <v>419</v>
      </c>
      <c r="G226" t="s">
        <v>396</v>
      </c>
      <c r="H226" t="str">
        <f>_xlfn.IFNA(+VLOOKUP(G226,Agrupacion!A:B,2,0),"")</f>
        <v>AGRUPADOR 3</v>
      </c>
      <c r="I226" t="str">
        <f>_xlfn.IFNA(+VLOOKUP(G226,Agrupacion!A:C,3,0),"")</f>
        <v>CABA SUR II</v>
      </c>
      <c r="J226" t="s">
        <v>15</v>
      </c>
      <c r="K226" t="s">
        <v>420</v>
      </c>
      <c r="M226" t="s">
        <v>8</v>
      </c>
    </row>
    <row r="227" spans="1:13" x14ac:dyDescent="0.2">
      <c r="A227">
        <v>230</v>
      </c>
      <c r="B227" t="s">
        <v>2248</v>
      </c>
      <c r="C227">
        <v>1</v>
      </c>
      <c r="D227" t="s">
        <v>424</v>
      </c>
      <c r="E227" t="s">
        <v>10</v>
      </c>
      <c r="F227" t="s">
        <v>425</v>
      </c>
      <c r="G227" t="s">
        <v>396</v>
      </c>
      <c r="H227" t="str">
        <f>_xlfn.IFNA(+VLOOKUP(G227,Agrupacion!A:B,2,0),"")</f>
        <v>AGRUPADOR 3</v>
      </c>
      <c r="I227" t="str">
        <f>_xlfn.IFNA(+VLOOKUP(G227,Agrupacion!A:C,3,0),"")</f>
        <v>CABA SUR II</v>
      </c>
      <c r="J227" t="s">
        <v>15</v>
      </c>
      <c r="M227" t="s">
        <v>8</v>
      </c>
    </row>
    <row r="228" spans="1:13" x14ac:dyDescent="0.2">
      <c r="A228">
        <v>231</v>
      </c>
      <c r="B228" t="s">
        <v>2249</v>
      </c>
      <c r="C228">
        <v>1</v>
      </c>
      <c r="D228" t="s">
        <v>85</v>
      </c>
      <c r="E228" t="s">
        <v>10</v>
      </c>
      <c r="F228" t="s">
        <v>86</v>
      </c>
      <c r="G228" t="s">
        <v>396</v>
      </c>
      <c r="H228" t="str">
        <f>_xlfn.IFNA(+VLOOKUP(G228,Agrupacion!A:B,2,0),"")</f>
        <v>AGRUPADOR 3</v>
      </c>
      <c r="I228" t="str">
        <f>_xlfn.IFNA(+VLOOKUP(G228,Agrupacion!A:C,3,0),"")</f>
        <v>CABA SUR II</v>
      </c>
      <c r="J228" t="s">
        <v>15</v>
      </c>
      <c r="K228" t="s">
        <v>426</v>
      </c>
      <c r="M228" t="s">
        <v>8</v>
      </c>
    </row>
    <row r="229" spans="1:13" x14ac:dyDescent="0.2">
      <c r="A229">
        <v>232</v>
      </c>
      <c r="B229" t="s">
        <v>2250</v>
      </c>
      <c r="C229">
        <v>1</v>
      </c>
      <c r="D229" t="s">
        <v>427</v>
      </c>
      <c r="E229" t="s">
        <v>10</v>
      </c>
      <c r="F229" t="s">
        <v>428</v>
      </c>
      <c r="G229" t="s">
        <v>396</v>
      </c>
      <c r="H229" t="str">
        <f>_xlfn.IFNA(+VLOOKUP(G229,Agrupacion!A:B,2,0),"")</f>
        <v>AGRUPADOR 3</v>
      </c>
      <c r="I229" t="str">
        <f>_xlfn.IFNA(+VLOOKUP(G229,Agrupacion!A:C,3,0),"")</f>
        <v>CABA SUR II</v>
      </c>
      <c r="J229" t="s">
        <v>282</v>
      </c>
      <c r="K229" t="s">
        <v>429</v>
      </c>
      <c r="M229" t="s">
        <v>8</v>
      </c>
    </row>
    <row r="230" spans="1:13" x14ac:dyDescent="0.2">
      <c r="A230">
        <v>233</v>
      </c>
      <c r="B230" t="s">
        <v>2251</v>
      </c>
      <c r="C230">
        <v>1</v>
      </c>
      <c r="D230" t="s">
        <v>430</v>
      </c>
      <c r="E230" t="s">
        <v>96</v>
      </c>
      <c r="F230" t="s">
        <v>269</v>
      </c>
      <c r="G230" t="s">
        <v>48</v>
      </c>
      <c r="H230" t="str">
        <f>_xlfn.IFNA(+VLOOKUP(G230,Agrupacion!A:B,2,0),"")</f>
        <v>AGRUPADOR 2</v>
      </c>
      <c r="I230" t="str">
        <f>_xlfn.IFNA(+VLOOKUP(G230,Agrupacion!A:C,3,0),"")</f>
        <v>CABA SUR</v>
      </c>
      <c r="J230" t="s">
        <v>15</v>
      </c>
      <c r="M230" t="s">
        <v>8</v>
      </c>
    </row>
    <row r="231" spans="1:13" x14ac:dyDescent="0.2">
      <c r="A231">
        <v>235</v>
      </c>
      <c r="B231" t="s">
        <v>2252</v>
      </c>
      <c r="C231">
        <v>1</v>
      </c>
      <c r="D231" t="s">
        <v>431</v>
      </c>
      <c r="E231" t="s">
        <v>96</v>
      </c>
      <c r="F231" t="s">
        <v>432</v>
      </c>
      <c r="G231" t="s">
        <v>48</v>
      </c>
      <c r="H231" t="str">
        <f>_xlfn.IFNA(+VLOOKUP(G231,Agrupacion!A:B,2,0),"")</f>
        <v>AGRUPADOR 2</v>
      </c>
      <c r="I231" t="str">
        <f>_xlfn.IFNA(+VLOOKUP(G231,Agrupacion!A:C,3,0),"")</f>
        <v>CABA SUR</v>
      </c>
      <c r="K231" t="s">
        <v>433</v>
      </c>
      <c r="M231" t="s">
        <v>8</v>
      </c>
    </row>
    <row r="232" spans="1:13" x14ac:dyDescent="0.2">
      <c r="A232">
        <v>236</v>
      </c>
      <c r="B232" t="s">
        <v>2253</v>
      </c>
      <c r="C232">
        <v>1</v>
      </c>
      <c r="D232" t="s">
        <v>434</v>
      </c>
      <c r="E232" t="s">
        <v>96</v>
      </c>
      <c r="F232" t="s">
        <v>435</v>
      </c>
      <c r="G232" t="s">
        <v>48</v>
      </c>
      <c r="H232" t="str">
        <f>_xlfn.IFNA(+VLOOKUP(G232,Agrupacion!A:B,2,0),"")</f>
        <v>AGRUPADOR 2</v>
      </c>
      <c r="I232" t="str">
        <f>_xlfn.IFNA(+VLOOKUP(G232,Agrupacion!A:C,3,0),"")</f>
        <v>CABA SUR</v>
      </c>
      <c r="J232" t="s">
        <v>15</v>
      </c>
      <c r="M232" t="s">
        <v>8</v>
      </c>
    </row>
    <row r="233" spans="1:13" x14ac:dyDescent="0.2">
      <c r="A233">
        <v>237</v>
      </c>
      <c r="B233" t="s">
        <v>2254</v>
      </c>
      <c r="C233">
        <v>1</v>
      </c>
      <c r="D233" t="s">
        <v>436</v>
      </c>
      <c r="E233" t="s">
        <v>10</v>
      </c>
      <c r="F233" t="s">
        <v>437</v>
      </c>
      <c r="G233" t="s">
        <v>396</v>
      </c>
      <c r="H233" t="str">
        <f>_xlfn.IFNA(+VLOOKUP(G233,Agrupacion!A:B,2,0),"")</f>
        <v>AGRUPADOR 3</v>
      </c>
      <c r="I233" t="str">
        <f>_xlfn.IFNA(+VLOOKUP(G233,Agrupacion!A:C,3,0),"")</f>
        <v>CABA SUR II</v>
      </c>
      <c r="J233" t="s">
        <v>15</v>
      </c>
      <c r="K233" t="s">
        <v>438</v>
      </c>
      <c r="L233" t="s">
        <v>439</v>
      </c>
      <c r="M233" t="s">
        <v>8</v>
      </c>
    </row>
    <row r="234" spans="1:13" x14ac:dyDescent="0.2">
      <c r="A234">
        <v>238</v>
      </c>
      <c r="B234" t="s">
        <v>2255</v>
      </c>
      <c r="C234">
        <v>1</v>
      </c>
      <c r="D234" t="s">
        <v>440</v>
      </c>
      <c r="E234" t="s">
        <v>10</v>
      </c>
      <c r="F234" t="s">
        <v>441</v>
      </c>
      <c r="G234" t="s">
        <v>396</v>
      </c>
      <c r="H234" t="str">
        <f>_xlfn.IFNA(+VLOOKUP(G234,Agrupacion!A:B,2,0),"")</f>
        <v>AGRUPADOR 3</v>
      </c>
      <c r="I234" t="str">
        <f>_xlfn.IFNA(+VLOOKUP(G234,Agrupacion!A:C,3,0),"")</f>
        <v>CABA SUR II</v>
      </c>
      <c r="J234" t="s">
        <v>15</v>
      </c>
      <c r="M234" t="s">
        <v>8</v>
      </c>
    </row>
    <row r="235" spans="1:13" x14ac:dyDescent="0.2">
      <c r="A235">
        <v>239</v>
      </c>
      <c r="B235" t="s">
        <v>2256</v>
      </c>
      <c r="C235">
        <v>1</v>
      </c>
      <c r="D235" t="s">
        <v>442</v>
      </c>
      <c r="E235" t="s">
        <v>10</v>
      </c>
      <c r="F235" t="s">
        <v>443</v>
      </c>
      <c r="G235" t="s">
        <v>396</v>
      </c>
      <c r="H235" t="str">
        <f>_xlfn.IFNA(+VLOOKUP(G235,Agrupacion!A:B,2,0),"")</f>
        <v>AGRUPADOR 3</v>
      </c>
      <c r="I235" t="str">
        <f>_xlfn.IFNA(+VLOOKUP(G235,Agrupacion!A:C,3,0),"")</f>
        <v>CABA SUR II</v>
      </c>
      <c r="J235" t="s">
        <v>15</v>
      </c>
      <c r="K235" t="s">
        <v>444</v>
      </c>
      <c r="M235" t="s">
        <v>8</v>
      </c>
    </row>
    <row r="236" spans="1:13" x14ac:dyDescent="0.2">
      <c r="A236">
        <v>240</v>
      </c>
      <c r="B236" t="s">
        <v>2257</v>
      </c>
      <c r="C236">
        <v>1</v>
      </c>
      <c r="D236" t="s">
        <v>449</v>
      </c>
      <c r="E236" t="s">
        <v>10</v>
      </c>
      <c r="F236" t="s">
        <v>450</v>
      </c>
      <c r="G236" t="s">
        <v>48</v>
      </c>
      <c r="H236" t="str">
        <f>_xlfn.IFNA(+VLOOKUP(G236,Agrupacion!A:B,2,0),"")</f>
        <v>AGRUPADOR 2</v>
      </c>
      <c r="I236" t="str">
        <f>_xlfn.IFNA(+VLOOKUP(G236,Agrupacion!A:C,3,0),"")</f>
        <v>CABA SUR</v>
      </c>
      <c r="J236" t="s">
        <v>15</v>
      </c>
      <c r="K236" t="s">
        <v>451</v>
      </c>
      <c r="M236" t="s">
        <v>8</v>
      </c>
    </row>
    <row r="237" spans="1:13" x14ac:dyDescent="0.2">
      <c r="A237">
        <v>241</v>
      </c>
      <c r="B237" t="s">
        <v>2258</v>
      </c>
      <c r="C237">
        <v>1</v>
      </c>
      <c r="D237" t="s">
        <v>452</v>
      </c>
      <c r="E237" t="s">
        <v>10</v>
      </c>
      <c r="F237" t="s">
        <v>453</v>
      </c>
      <c r="G237" t="s">
        <v>396</v>
      </c>
      <c r="H237" t="str">
        <f>_xlfn.IFNA(+VLOOKUP(G237,Agrupacion!A:B,2,0),"")</f>
        <v>AGRUPADOR 3</v>
      </c>
      <c r="I237" t="str">
        <f>_xlfn.IFNA(+VLOOKUP(G237,Agrupacion!A:C,3,0),"")</f>
        <v>CABA SUR II</v>
      </c>
      <c r="J237" t="s">
        <v>15</v>
      </c>
      <c r="K237" t="s">
        <v>454</v>
      </c>
      <c r="M237" t="s">
        <v>8</v>
      </c>
    </row>
    <row r="238" spans="1:13" x14ac:dyDescent="0.2">
      <c r="A238">
        <v>242</v>
      </c>
      <c r="B238" t="s">
        <v>2259</v>
      </c>
      <c r="C238">
        <v>1</v>
      </c>
      <c r="D238" t="s">
        <v>455</v>
      </c>
      <c r="E238" t="s">
        <v>10</v>
      </c>
      <c r="F238" t="s">
        <v>456</v>
      </c>
      <c r="G238" t="s">
        <v>2698</v>
      </c>
      <c r="H238" t="str">
        <f>_xlfn.IFNA(+VLOOKUP(G238,Agrupacion!A:B,2,0),"")</f>
        <v>AGRUPADOR 1</v>
      </c>
      <c r="I238" t="str">
        <f>_xlfn.IFNA(+VLOOKUP(G238,Agrupacion!A:C,3,0),"")</f>
        <v>CABA NORTE</v>
      </c>
      <c r="J238" t="s">
        <v>15</v>
      </c>
      <c r="K238" t="s">
        <v>457</v>
      </c>
      <c r="M238" t="s">
        <v>8</v>
      </c>
    </row>
    <row r="239" spans="1:13" x14ac:dyDescent="0.2">
      <c r="A239">
        <v>243</v>
      </c>
      <c r="B239" t="s">
        <v>2260</v>
      </c>
      <c r="C239">
        <v>1</v>
      </c>
      <c r="D239" t="s">
        <v>458</v>
      </c>
      <c r="E239" t="s">
        <v>10</v>
      </c>
      <c r="F239" t="s">
        <v>459</v>
      </c>
      <c r="G239" t="s">
        <v>549</v>
      </c>
      <c r="H239" t="str">
        <f>_xlfn.IFNA(+VLOOKUP(G239,Agrupacion!A:B,2,0),"")</f>
        <v>AGRUPADOR 1</v>
      </c>
      <c r="I239" t="str">
        <f>_xlfn.IFNA(+VLOOKUP(G239,Agrupacion!A:C,3,0),"")</f>
        <v>CABA NORTE</v>
      </c>
      <c r="K239" t="s">
        <v>460</v>
      </c>
      <c r="M239" t="s">
        <v>8</v>
      </c>
    </row>
    <row r="240" spans="1:13" x14ac:dyDescent="0.2">
      <c r="A240">
        <v>244</v>
      </c>
      <c r="B240" t="s">
        <v>2261</v>
      </c>
      <c r="C240">
        <v>1</v>
      </c>
      <c r="D240" t="s">
        <v>461</v>
      </c>
      <c r="E240" t="s">
        <v>10</v>
      </c>
      <c r="F240" t="s">
        <v>462</v>
      </c>
      <c r="G240" t="s">
        <v>48</v>
      </c>
      <c r="H240" t="str">
        <f>_xlfn.IFNA(+VLOOKUP(G240,Agrupacion!A:B,2,0),"")</f>
        <v>AGRUPADOR 2</v>
      </c>
      <c r="I240" t="str">
        <f>_xlfn.IFNA(+VLOOKUP(G240,Agrupacion!A:C,3,0),"")</f>
        <v>CABA SUR</v>
      </c>
      <c r="J240" t="s">
        <v>15</v>
      </c>
      <c r="K240" t="s">
        <v>463</v>
      </c>
      <c r="M240" t="s">
        <v>8</v>
      </c>
    </row>
    <row r="241" spans="1:13" x14ac:dyDescent="0.2">
      <c r="A241">
        <v>245</v>
      </c>
      <c r="B241" t="s">
        <v>2262</v>
      </c>
      <c r="C241">
        <v>1</v>
      </c>
      <c r="D241" t="s">
        <v>464</v>
      </c>
      <c r="E241" t="s">
        <v>96</v>
      </c>
      <c r="F241" t="s">
        <v>465</v>
      </c>
      <c r="G241" t="s">
        <v>466</v>
      </c>
      <c r="H241" t="str">
        <f>_xlfn.IFNA(+VLOOKUP(G241,Agrupacion!A:B,2,0),"")</f>
        <v>AGRUPADOR 1</v>
      </c>
      <c r="I241" t="str">
        <f>_xlfn.IFNA(+VLOOKUP(G241,Agrupacion!A:C,3,0),"")</f>
        <v>CABA NORTE</v>
      </c>
      <c r="K241" t="s">
        <v>467</v>
      </c>
      <c r="M241" t="s">
        <v>8</v>
      </c>
    </row>
    <row r="242" spans="1:13" x14ac:dyDescent="0.2">
      <c r="A242">
        <v>246</v>
      </c>
      <c r="B242" t="s">
        <v>2263</v>
      </c>
      <c r="C242">
        <v>1</v>
      </c>
      <c r="D242" t="s">
        <v>468</v>
      </c>
      <c r="E242" t="s">
        <v>10</v>
      </c>
      <c r="F242" t="s">
        <v>34</v>
      </c>
      <c r="G242" t="s">
        <v>170</v>
      </c>
      <c r="H242" t="str">
        <f>_xlfn.IFNA(+VLOOKUP(G242,Agrupacion!A:B,2,0),"")</f>
        <v>AGRUPADOR 2</v>
      </c>
      <c r="I242" t="str">
        <f>_xlfn.IFNA(+VLOOKUP(G242,Agrupacion!A:C,3,0),"")</f>
        <v>CABA SUR</v>
      </c>
      <c r="J242" t="s">
        <v>15</v>
      </c>
      <c r="K242" t="s">
        <v>469</v>
      </c>
      <c r="M242" t="s">
        <v>8</v>
      </c>
    </row>
    <row r="243" spans="1:13" x14ac:dyDescent="0.2">
      <c r="A243">
        <v>247</v>
      </c>
      <c r="B243" t="s">
        <v>2264</v>
      </c>
      <c r="C243">
        <v>1</v>
      </c>
      <c r="D243" t="s">
        <v>470</v>
      </c>
      <c r="E243" t="s">
        <v>10</v>
      </c>
      <c r="F243" t="s">
        <v>111</v>
      </c>
      <c r="G243" t="s">
        <v>396</v>
      </c>
      <c r="H243" t="str">
        <f>_xlfn.IFNA(+VLOOKUP(G243,Agrupacion!A:B,2,0),"")</f>
        <v>AGRUPADOR 3</v>
      </c>
      <c r="I243" t="str">
        <f>_xlfn.IFNA(+VLOOKUP(G243,Agrupacion!A:C,3,0),"")</f>
        <v>CABA SUR II</v>
      </c>
      <c r="J243" t="s">
        <v>15</v>
      </c>
      <c r="K243" t="s">
        <v>471</v>
      </c>
      <c r="M243" t="s">
        <v>8</v>
      </c>
    </row>
    <row r="244" spans="1:13" x14ac:dyDescent="0.2">
      <c r="A244">
        <v>248</v>
      </c>
      <c r="B244" t="s">
        <v>2265</v>
      </c>
      <c r="C244">
        <v>1</v>
      </c>
      <c r="D244" t="s">
        <v>472</v>
      </c>
      <c r="E244" t="s">
        <v>10</v>
      </c>
      <c r="F244" t="s">
        <v>473</v>
      </c>
      <c r="G244" t="s">
        <v>2697</v>
      </c>
      <c r="H244" t="str">
        <f>_xlfn.IFNA(+VLOOKUP(G244,Agrupacion!A:B,2,0),"")</f>
        <v>AGRUPADOR 3</v>
      </c>
      <c r="I244" t="str">
        <f>_xlfn.IFNA(+VLOOKUP(G244,Agrupacion!A:C,3,0),"")</f>
        <v>CABA SUR II</v>
      </c>
      <c r="J244" t="s">
        <v>195</v>
      </c>
      <c r="K244" t="s">
        <v>474</v>
      </c>
      <c r="M244" t="s">
        <v>8</v>
      </c>
    </row>
    <row r="245" spans="1:13" x14ac:dyDescent="0.2">
      <c r="A245">
        <v>249</v>
      </c>
      <c r="B245" t="s">
        <v>2266</v>
      </c>
      <c r="C245">
        <v>1</v>
      </c>
      <c r="D245" t="s">
        <v>475</v>
      </c>
      <c r="E245" t="s">
        <v>10</v>
      </c>
      <c r="F245" t="s">
        <v>476</v>
      </c>
      <c r="G245" t="s">
        <v>201</v>
      </c>
      <c r="H245" t="str">
        <f>_xlfn.IFNA(+VLOOKUP(G245,Agrupacion!A:B,2,0),"")</f>
        <v>AGRUPADOR 2</v>
      </c>
      <c r="I245" t="str">
        <f>_xlfn.IFNA(+VLOOKUP(G245,Agrupacion!A:C,3,0),"")</f>
        <v>CABA SUR</v>
      </c>
      <c r="K245" t="s">
        <v>477</v>
      </c>
      <c r="M245" t="s">
        <v>8</v>
      </c>
    </row>
    <row r="246" spans="1:13" x14ac:dyDescent="0.2">
      <c r="A246">
        <v>250</v>
      </c>
      <c r="B246" t="s">
        <v>2267</v>
      </c>
      <c r="C246">
        <v>1</v>
      </c>
      <c r="D246" t="s">
        <v>478</v>
      </c>
      <c r="E246" t="s">
        <v>10</v>
      </c>
      <c r="F246" t="s">
        <v>479</v>
      </c>
      <c r="G246" t="s">
        <v>396</v>
      </c>
      <c r="H246" t="str">
        <f>_xlfn.IFNA(+VLOOKUP(G246,Agrupacion!A:B,2,0),"")</f>
        <v>AGRUPADOR 3</v>
      </c>
      <c r="I246" t="str">
        <f>_xlfn.IFNA(+VLOOKUP(G246,Agrupacion!A:C,3,0),"")</f>
        <v>CABA SUR II</v>
      </c>
      <c r="J246" t="s">
        <v>15</v>
      </c>
      <c r="K246" t="s">
        <v>480</v>
      </c>
      <c r="M246" t="s">
        <v>8</v>
      </c>
    </row>
    <row r="247" spans="1:13" x14ac:dyDescent="0.2">
      <c r="A247">
        <v>251</v>
      </c>
      <c r="B247" t="s">
        <v>2268</v>
      </c>
      <c r="C247">
        <v>1</v>
      </c>
      <c r="D247" t="s">
        <v>481</v>
      </c>
      <c r="E247" t="s">
        <v>10</v>
      </c>
      <c r="F247" t="s">
        <v>482</v>
      </c>
      <c r="G247" t="s">
        <v>396</v>
      </c>
      <c r="H247" t="str">
        <f>_xlfn.IFNA(+VLOOKUP(G247,Agrupacion!A:B,2,0),"")</f>
        <v>AGRUPADOR 3</v>
      </c>
      <c r="I247" t="str">
        <f>_xlfn.IFNA(+VLOOKUP(G247,Agrupacion!A:C,3,0),"")</f>
        <v>CABA SUR II</v>
      </c>
      <c r="J247" t="s">
        <v>15</v>
      </c>
      <c r="K247" t="s">
        <v>483</v>
      </c>
      <c r="M247" t="s">
        <v>8</v>
      </c>
    </row>
    <row r="248" spans="1:13" x14ac:dyDescent="0.2">
      <c r="A248">
        <v>252</v>
      </c>
      <c r="B248" t="s">
        <v>2269</v>
      </c>
      <c r="C248">
        <v>1</v>
      </c>
      <c r="D248" t="s">
        <v>484</v>
      </c>
      <c r="E248" t="s">
        <v>10</v>
      </c>
      <c r="F248" t="s">
        <v>485</v>
      </c>
      <c r="G248" t="s">
        <v>249</v>
      </c>
      <c r="H248" t="str">
        <f>_xlfn.IFNA(+VLOOKUP(G248,Agrupacion!A:B,2,0),"")</f>
        <v>AGRUPADOR 2</v>
      </c>
      <c r="I248" t="str">
        <f>_xlfn.IFNA(+VLOOKUP(G248,Agrupacion!A:C,3,0),"")</f>
        <v>CABA SUR</v>
      </c>
      <c r="K248" t="s">
        <v>486</v>
      </c>
      <c r="L248" t="s">
        <v>487</v>
      </c>
      <c r="M248" t="s">
        <v>8</v>
      </c>
    </row>
    <row r="249" spans="1:13" x14ac:dyDescent="0.2">
      <c r="A249">
        <v>253</v>
      </c>
      <c r="B249" t="s">
        <v>2270</v>
      </c>
      <c r="C249">
        <v>1</v>
      </c>
      <c r="D249" t="s">
        <v>488</v>
      </c>
      <c r="E249" t="s">
        <v>10</v>
      </c>
      <c r="F249" t="s">
        <v>489</v>
      </c>
      <c r="G249" t="s">
        <v>249</v>
      </c>
      <c r="H249" t="str">
        <f>_xlfn.IFNA(+VLOOKUP(G249,Agrupacion!A:B,2,0),"")</f>
        <v>AGRUPADOR 2</v>
      </c>
      <c r="I249" t="str">
        <f>_xlfn.IFNA(+VLOOKUP(G249,Agrupacion!A:C,3,0),"")</f>
        <v>CABA SUR</v>
      </c>
      <c r="J249" t="s">
        <v>15</v>
      </c>
      <c r="K249" t="s">
        <v>490</v>
      </c>
      <c r="M249" t="s">
        <v>8</v>
      </c>
    </row>
    <row r="250" spans="1:13" x14ac:dyDescent="0.2">
      <c r="A250">
        <v>254</v>
      </c>
      <c r="B250" t="s">
        <v>2271</v>
      </c>
      <c r="C250">
        <v>1</v>
      </c>
      <c r="D250" t="s">
        <v>491</v>
      </c>
      <c r="E250" t="s">
        <v>10</v>
      </c>
      <c r="F250" t="s">
        <v>492</v>
      </c>
      <c r="G250" t="s">
        <v>396</v>
      </c>
      <c r="H250" t="str">
        <f>_xlfn.IFNA(+VLOOKUP(G250,Agrupacion!A:B,2,0),"")</f>
        <v>AGRUPADOR 3</v>
      </c>
      <c r="I250" t="str">
        <f>_xlfn.IFNA(+VLOOKUP(G250,Agrupacion!A:C,3,0),"")</f>
        <v>CABA SUR II</v>
      </c>
      <c r="J250" t="s">
        <v>15</v>
      </c>
      <c r="M250" t="s">
        <v>8</v>
      </c>
    </row>
    <row r="251" spans="1:13" x14ac:dyDescent="0.2">
      <c r="A251">
        <v>255</v>
      </c>
      <c r="B251" t="s">
        <v>2272</v>
      </c>
      <c r="C251">
        <v>1</v>
      </c>
      <c r="D251" t="s">
        <v>493</v>
      </c>
      <c r="E251" t="s">
        <v>10</v>
      </c>
      <c r="F251" t="s">
        <v>494</v>
      </c>
      <c r="G251" t="s">
        <v>170</v>
      </c>
      <c r="H251" t="str">
        <f>_xlfn.IFNA(+VLOOKUP(G251,Agrupacion!A:B,2,0),"")</f>
        <v>AGRUPADOR 2</v>
      </c>
      <c r="I251" t="str">
        <f>_xlfn.IFNA(+VLOOKUP(G251,Agrupacion!A:C,3,0),"")</f>
        <v>CABA SUR</v>
      </c>
      <c r="M251" t="s">
        <v>8</v>
      </c>
    </row>
    <row r="252" spans="1:13" x14ac:dyDescent="0.2">
      <c r="A252">
        <v>256</v>
      </c>
      <c r="B252" t="s">
        <v>2273</v>
      </c>
      <c r="C252">
        <v>1</v>
      </c>
      <c r="D252" t="s">
        <v>495</v>
      </c>
      <c r="E252" t="s">
        <v>10</v>
      </c>
      <c r="F252" t="s">
        <v>496</v>
      </c>
      <c r="G252" t="s">
        <v>170</v>
      </c>
      <c r="H252" t="str">
        <f>_xlfn.IFNA(+VLOOKUP(G252,Agrupacion!A:B,2,0),"")</f>
        <v>AGRUPADOR 2</v>
      </c>
      <c r="I252" t="str">
        <f>_xlfn.IFNA(+VLOOKUP(G252,Agrupacion!A:C,3,0),"")</f>
        <v>CABA SUR</v>
      </c>
      <c r="J252" t="s">
        <v>115</v>
      </c>
      <c r="K252" t="s">
        <v>497</v>
      </c>
      <c r="M252" t="s">
        <v>8</v>
      </c>
    </row>
    <row r="253" spans="1:13" x14ac:dyDescent="0.2">
      <c r="A253">
        <v>257</v>
      </c>
      <c r="B253" t="s">
        <v>2274</v>
      </c>
      <c r="C253">
        <v>1</v>
      </c>
      <c r="D253" t="s">
        <v>498</v>
      </c>
      <c r="E253" t="s">
        <v>10</v>
      </c>
      <c r="F253" t="s">
        <v>499</v>
      </c>
      <c r="G253" t="s">
        <v>170</v>
      </c>
      <c r="H253" t="str">
        <f>_xlfn.IFNA(+VLOOKUP(G253,Agrupacion!A:B,2,0),"")</f>
        <v>AGRUPADOR 2</v>
      </c>
      <c r="I253" t="str">
        <f>_xlfn.IFNA(+VLOOKUP(G253,Agrupacion!A:C,3,0),"")</f>
        <v>CABA SUR</v>
      </c>
      <c r="J253" t="s">
        <v>500</v>
      </c>
      <c r="K253" t="s">
        <v>501</v>
      </c>
      <c r="M253" t="s">
        <v>8</v>
      </c>
    </row>
    <row r="254" spans="1:13" x14ac:dyDescent="0.2">
      <c r="A254">
        <v>258</v>
      </c>
      <c r="B254" t="s">
        <v>2275</v>
      </c>
      <c r="C254">
        <v>1</v>
      </c>
      <c r="D254" t="s">
        <v>502</v>
      </c>
      <c r="E254" t="s">
        <v>10</v>
      </c>
      <c r="F254" t="s">
        <v>503</v>
      </c>
      <c r="G254" t="s">
        <v>396</v>
      </c>
      <c r="H254" t="str">
        <f>_xlfn.IFNA(+VLOOKUP(G254,Agrupacion!A:B,2,0),"")</f>
        <v>AGRUPADOR 3</v>
      </c>
      <c r="I254" t="str">
        <f>_xlfn.IFNA(+VLOOKUP(G254,Agrupacion!A:C,3,0),"")</f>
        <v>CABA SUR II</v>
      </c>
      <c r="J254" t="s">
        <v>15</v>
      </c>
      <c r="K254" t="s">
        <v>504</v>
      </c>
      <c r="M254" t="s">
        <v>8</v>
      </c>
    </row>
    <row r="255" spans="1:13" x14ac:dyDescent="0.2">
      <c r="A255">
        <v>259</v>
      </c>
      <c r="B255" t="s">
        <v>2276</v>
      </c>
      <c r="C255">
        <v>1</v>
      </c>
      <c r="D255" t="s">
        <v>505</v>
      </c>
      <c r="E255" t="s">
        <v>10</v>
      </c>
      <c r="F255" t="s">
        <v>506</v>
      </c>
      <c r="G255" t="s">
        <v>249</v>
      </c>
      <c r="H255" t="str">
        <f>_xlfn.IFNA(+VLOOKUP(G255,Agrupacion!A:B,2,0),"")</f>
        <v>AGRUPADOR 2</v>
      </c>
      <c r="I255" t="str">
        <f>_xlfn.IFNA(+VLOOKUP(G255,Agrupacion!A:C,3,0),"")</f>
        <v>CABA SUR</v>
      </c>
      <c r="J255" t="s">
        <v>15</v>
      </c>
      <c r="K255" t="s">
        <v>507</v>
      </c>
      <c r="M255" t="s">
        <v>8</v>
      </c>
    </row>
    <row r="256" spans="1:13" x14ac:dyDescent="0.2">
      <c r="A256">
        <v>260</v>
      </c>
      <c r="B256" t="s">
        <v>2277</v>
      </c>
      <c r="C256">
        <v>1</v>
      </c>
      <c r="D256" t="s">
        <v>511</v>
      </c>
      <c r="E256" t="s">
        <v>10</v>
      </c>
      <c r="F256" t="s">
        <v>512</v>
      </c>
      <c r="G256" t="s">
        <v>170</v>
      </c>
      <c r="H256" t="str">
        <f>_xlfn.IFNA(+VLOOKUP(G256,Agrupacion!A:B,2,0),"")</f>
        <v>AGRUPADOR 2</v>
      </c>
      <c r="I256" t="str">
        <f>_xlfn.IFNA(+VLOOKUP(G256,Agrupacion!A:C,3,0),"")</f>
        <v>CABA SUR</v>
      </c>
      <c r="J256" t="s">
        <v>262</v>
      </c>
      <c r="K256" t="s">
        <v>513</v>
      </c>
      <c r="M256" t="s">
        <v>8</v>
      </c>
    </row>
    <row r="257" spans="1:13" x14ac:dyDescent="0.2">
      <c r="A257">
        <v>261</v>
      </c>
      <c r="B257" t="s">
        <v>2399</v>
      </c>
      <c r="C257">
        <v>1</v>
      </c>
      <c r="D257" t="s">
        <v>514</v>
      </c>
      <c r="E257" t="s">
        <v>10</v>
      </c>
      <c r="F257" t="s">
        <v>515</v>
      </c>
      <c r="G257" t="s">
        <v>357</v>
      </c>
      <c r="H257" t="str">
        <f>_xlfn.IFNA(+VLOOKUP(G257,Agrupacion!A:B,2,0),"")</f>
        <v>AGRUPADOR 3</v>
      </c>
      <c r="I257" t="str">
        <f>_xlfn.IFNA(+VLOOKUP(G257,Agrupacion!A:C,3,0),"")</f>
        <v>CABA SUR II</v>
      </c>
      <c r="J257" t="s">
        <v>282</v>
      </c>
      <c r="K257" t="s">
        <v>516</v>
      </c>
      <c r="M257" t="s">
        <v>8</v>
      </c>
    </row>
    <row r="258" spans="1:13" x14ac:dyDescent="0.2">
      <c r="A258">
        <v>262</v>
      </c>
      <c r="B258" t="s">
        <v>2400</v>
      </c>
      <c r="C258">
        <v>1</v>
      </c>
      <c r="D258" t="s">
        <v>517</v>
      </c>
      <c r="E258" t="s">
        <v>10</v>
      </c>
      <c r="F258" t="s">
        <v>518</v>
      </c>
      <c r="G258" t="s">
        <v>2697</v>
      </c>
      <c r="H258" t="str">
        <f>_xlfn.IFNA(+VLOOKUP(G258,Agrupacion!A:B,2,0),"")</f>
        <v>AGRUPADOR 3</v>
      </c>
      <c r="I258" t="str">
        <f>_xlfn.IFNA(+VLOOKUP(G258,Agrupacion!A:C,3,0),"")</f>
        <v>CABA SUR II</v>
      </c>
      <c r="J258" t="s">
        <v>62</v>
      </c>
      <c r="K258" t="s">
        <v>519</v>
      </c>
      <c r="M258" t="s">
        <v>8</v>
      </c>
    </row>
    <row r="259" spans="1:13" x14ac:dyDescent="0.2">
      <c r="A259">
        <v>263</v>
      </c>
      <c r="B259" t="s">
        <v>2401</v>
      </c>
      <c r="C259">
        <v>1</v>
      </c>
      <c r="D259" t="s">
        <v>520</v>
      </c>
      <c r="E259" t="s">
        <v>10</v>
      </c>
      <c r="F259" t="s">
        <v>521</v>
      </c>
      <c r="G259" t="s">
        <v>201</v>
      </c>
      <c r="H259" t="str">
        <f>_xlfn.IFNA(+VLOOKUP(G259,Agrupacion!A:B,2,0),"")</f>
        <v>AGRUPADOR 2</v>
      </c>
      <c r="I259" t="str">
        <f>_xlfn.IFNA(+VLOOKUP(G259,Agrupacion!A:C,3,0),"")</f>
        <v>CABA SUR</v>
      </c>
      <c r="K259" t="s">
        <v>522</v>
      </c>
      <c r="M259" t="s">
        <v>8</v>
      </c>
    </row>
    <row r="260" spans="1:13" x14ac:dyDescent="0.2">
      <c r="A260">
        <v>264</v>
      </c>
      <c r="B260" t="s">
        <v>2402</v>
      </c>
      <c r="C260">
        <v>1</v>
      </c>
      <c r="D260" t="s">
        <v>523</v>
      </c>
      <c r="E260" t="s">
        <v>10</v>
      </c>
      <c r="F260" t="s">
        <v>524</v>
      </c>
      <c r="G260" t="s">
        <v>396</v>
      </c>
      <c r="H260" t="str">
        <f>_xlfn.IFNA(+VLOOKUP(G260,Agrupacion!A:B,2,0),"")</f>
        <v>AGRUPADOR 3</v>
      </c>
      <c r="I260" t="str">
        <f>_xlfn.IFNA(+VLOOKUP(G260,Agrupacion!A:C,3,0),"")</f>
        <v>CABA SUR II</v>
      </c>
      <c r="J260" t="s">
        <v>15</v>
      </c>
      <c r="K260" t="s">
        <v>525</v>
      </c>
      <c r="M260" t="s">
        <v>8</v>
      </c>
    </row>
    <row r="261" spans="1:13" x14ac:dyDescent="0.2">
      <c r="A261">
        <v>265</v>
      </c>
      <c r="B261" t="s">
        <v>2403</v>
      </c>
      <c r="C261">
        <v>1</v>
      </c>
      <c r="D261" t="s">
        <v>526</v>
      </c>
      <c r="F261" t="s">
        <v>527</v>
      </c>
      <c r="G261" t="s">
        <v>396</v>
      </c>
      <c r="H261" t="str">
        <f>_xlfn.IFNA(+VLOOKUP(G261,Agrupacion!A:B,2,0),"")</f>
        <v>AGRUPADOR 3</v>
      </c>
      <c r="I261" t="str">
        <f>_xlfn.IFNA(+VLOOKUP(G261,Agrupacion!A:C,3,0),"")</f>
        <v>CABA SUR II</v>
      </c>
      <c r="J261" t="s">
        <v>15</v>
      </c>
      <c r="M261" t="s">
        <v>8</v>
      </c>
    </row>
    <row r="262" spans="1:13" x14ac:dyDescent="0.2">
      <c r="A262">
        <v>266</v>
      </c>
      <c r="B262" t="s">
        <v>2404</v>
      </c>
      <c r="C262">
        <v>1</v>
      </c>
      <c r="D262" t="s">
        <v>528</v>
      </c>
      <c r="E262" t="s">
        <v>96</v>
      </c>
      <c r="F262" t="s">
        <v>529</v>
      </c>
      <c r="G262" t="s">
        <v>385</v>
      </c>
      <c r="H262" t="str">
        <f>_xlfn.IFNA(+VLOOKUP(G262,Agrupacion!A:B,2,0),"")</f>
        <v>AGRUPADOR 6</v>
      </c>
      <c r="I262" t="str">
        <f>_xlfn.IFNA(+VLOOKUP(G262,Agrupacion!A:C,3,0),"")</f>
        <v>GBA OESTE</v>
      </c>
      <c r="K262" t="s">
        <v>530</v>
      </c>
      <c r="M262" t="s">
        <v>8</v>
      </c>
    </row>
    <row r="263" spans="1:13" x14ac:dyDescent="0.2">
      <c r="A263">
        <v>267</v>
      </c>
      <c r="B263" t="s">
        <v>2405</v>
      </c>
      <c r="C263">
        <v>1</v>
      </c>
      <c r="D263" t="s">
        <v>531</v>
      </c>
      <c r="E263" t="s">
        <v>10</v>
      </c>
      <c r="F263" t="s">
        <v>532</v>
      </c>
      <c r="G263" t="s">
        <v>396</v>
      </c>
      <c r="H263" t="str">
        <f>_xlfn.IFNA(+VLOOKUP(G263,Agrupacion!A:B,2,0),"")</f>
        <v>AGRUPADOR 3</v>
      </c>
      <c r="I263" t="str">
        <f>_xlfn.IFNA(+VLOOKUP(G263,Agrupacion!A:C,3,0),"")</f>
        <v>CABA SUR II</v>
      </c>
      <c r="J263" t="s">
        <v>15</v>
      </c>
      <c r="K263" t="s">
        <v>176</v>
      </c>
      <c r="M263" t="s">
        <v>8</v>
      </c>
    </row>
    <row r="264" spans="1:13" x14ac:dyDescent="0.2">
      <c r="A264">
        <v>268</v>
      </c>
      <c r="B264" t="s">
        <v>2406</v>
      </c>
      <c r="C264">
        <v>1</v>
      </c>
      <c r="D264" t="s">
        <v>533</v>
      </c>
      <c r="E264" t="s">
        <v>10</v>
      </c>
      <c r="F264" t="s">
        <v>534</v>
      </c>
      <c r="G264" t="s">
        <v>396</v>
      </c>
      <c r="H264" t="str">
        <f>_xlfn.IFNA(+VLOOKUP(G264,Agrupacion!A:B,2,0),"")</f>
        <v>AGRUPADOR 3</v>
      </c>
      <c r="I264" t="str">
        <f>_xlfn.IFNA(+VLOOKUP(G264,Agrupacion!A:C,3,0),"")</f>
        <v>CABA SUR II</v>
      </c>
      <c r="J264" t="s">
        <v>15</v>
      </c>
      <c r="K264" t="s">
        <v>535</v>
      </c>
      <c r="M264" t="s">
        <v>8</v>
      </c>
    </row>
    <row r="265" spans="1:13" x14ac:dyDescent="0.2">
      <c r="A265">
        <v>269</v>
      </c>
      <c r="B265" t="s">
        <v>2407</v>
      </c>
      <c r="C265">
        <v>1</v>
      </c>
      <c r="D265" t="s">
        <v>536</v>
      </c>
      <c r="F265" t="s">
        <v>537</v>
      </c>
      <c r="G265" t="s">
        <v>249</v>
      </c>
      <c r="H265" t="str">
        <f>_xlfn.IFNA(+VLOOKUP(G265,Agrupacion!A:B,2,0),"")</f>
        <v>AGRUPADOR 2</v>
      </c>
      <c r="I265" t="str">
        <f>_xlfn.IFNA(+VLOOKUP(G265,Agrupacion!A:C,3,0),"")</f>
        <v>CABA SUR</v>
      </c>
      <c r="K265" t="s">
        <v>538</v>
      </c>
      <c r="M265" t="s">
        <v>8</v>
      </c>
    </row>
    <row r="266" spans="1:13" x14ac:dyDescent="0.2">
      <c r="A266">
        <v>270</v>
      </c>
      <c r="B266" t="s">
        <v>2408</v>
      </c>
      <c r="C266">
        <v>1</v>
      </c>
      <c r="D266" t="s">
        <v>541</v>
      </c>
      <c r="E266" t="s">
        <v>10</v>
      </c>
      <c r="F266" t="s">
        <v>542</v>
      </c>
      <c r="G266" t="s">
        <v>170</v>
      </c>
      <c r="H266" t="str">
        <f>_xlfn.IFNA(+VLOOKUP(G266,Agrupacion!A:B,2,0),"")</f>
        <v>AGRUPADOR 2</v>
      </c>
      <c r="I266" t="str">
        <f>_xlfn.IFNA(+VLOOKUP(G266,Agrupacion!A:C,3,0),"")</f>
        <v>CABA SUR</v>
      </c>
      <c r="K266" t="s">
        <v>543</v>
      </c>
      <c r="M266" t="s">
        <v>8</v>
      </c>
    </row>
    <row r="267" spans="1:13" x14ac:dyDescent="0.2">
      <c r="A267">
        <v>271</v>
      </c>
      <c r="B267" t="s">
        <v>2409</v>
      </c>
      <c r="C267">
        <v>1</v>
      </c>
      <c r="D267" t="s">
        <v>544</v>
      </c>
      <c r="E267" t="s">
        <v>10</v>
      </c>
      <c r="F267" t="s">
        <v>545</v>
      </c>
      <c r="G267" t="s">
        <v>396</v>
      </c>
      <c r="H267" t="str">
        <f>_xlfn.IFNA(+VLOOKUP(G267,Agrupacion!A:B,2,0),"")</f>
        <v>AGRUPADOR 3</v>
      </c>
      <c r="I267" t="str">
        <f>_xlfn.IFNA(+VLOOKUP(G267,Agrupacion!A:C,3,0),"")</f>
        <v>CABA SUR II</v>
      </c>
      <c r="J267" t="s">
        <v>15</v>
      </c>
      <c r="K267" t="s">
        <v>546</v>
      </c>
      <c r="M267" t="s">
        <v>8</v>
      </c>
    </row>
    <row r="268" spans="1:13" x14ac:dyDescent="0.2">
      <c r="A268">
        <v>272</v>
      </c>
      <c r="B268" t="s">
        <v>2410</v>
      </c>
      <c r="C268">
        <v>1</v>
      </c>
      <c r="D268" t="s">
        <v>547</v>
      </c>
      <c r="F268" t="s">
        <v>548</v>
      </c>
      <c r="G268" t="s">
        <v>549</v>
      </c>
      <c r="H268" t="str">
        <f>_xlfn.IFNA(+VLOOKUP(G268,Agrupacion!A:B,2,0),"")</f>
        <v>AGRUPADOR 1</v>
      </c>
      <c r="I268" t="str">
        <f>_xlfn.IFNA(+VLOOKUP(G268,Agrupacion!A:C,3,0),"")</f>
        <v>CABA NORTE</v>
      </c>
      <c r="M268" t="s">
        <v>8</v>
      </c>
    </row>
    <row r="269" spans="1:13" x14ac:dyDescent="0.2">
      <c r="A269">
        <v>273</v>
      </c>
      <c r="B269" t="s">
        <v>2411</v>
      </c>
      <c r="C269">
        <v>1</v>
      </c>
      <c r="D269" t="s">
        <v>550</v>
      </c>
      <c r="E269" t="s">
        <v>10</v>
      </c>
      <c r="F269" t="s">
        <v>551</v>
      </c>
      <c r="G269" t="s">
        <v>396</v>
      </c>
      <c r="H269" t="str">
        <f>_xlfn.IFNA(+VLOOKUP(G269,Agrupacion!A:B,2,0),"")</f>
        <v>AGRUPADOR 3</v>
      </c>
      <c r="I269" t="str">
        <f>_xlfn.IFNA(+VLOOKUP(G269,Agrupacion!A:C,3,0),"")</f>
        <v>CABA SUR II</v>
      </c>
      <c r="K269" t="s">
        <v>552</v>
      </c>
      <c r="M269" t="s">
        <v>8</v>
      </c>
    </row>
    <row r="270" spans="1:13" x14ac:dyDescent="0.2">
      <c r="A270">
        <v>274</v>
      </c>
      <c r="B270" t="s">
        <v>2412</v>
      </c>
      <c r="C270">
        <v>1</v>
      </c>
      <c r="D270" t="s">
        <v>553</v>
      </c>
      <c r="E270" t="s">
        <v>10</v>
      </c>
      <c r="F270" t="s">
        <v>554</v>
      </c>
      <c r="G270" t="s">
        <v>2697</v>
      </c>
      <c r="H270" t="str">
        <f>_xlfn.IFNA(+VLOOKUP(G270,Agrupacion!A:B,2,0),"")</f>
        <v>AGRUPADOR 3</v>
      </c>
      <c r="I270" t="str">
        <f>_xlfn.IFNA(+VLOOKUP(G270,Agrupacion!A:C,3,0),"")</f>
        <v>CABA SUR II</v>
      </c>
      <c r="J270" t="s">
        <v>195</v>
      </c>
      <c r="K270" t="s">
        <v>555</v>
      </c>
      <c r="M270" t="s">
        <v>8</v>
      </c>
    </row>
    <row r="271" spans="1:13" x14ac:dyDescent="0.2">
      <c r="A271">
        <v>275</v>
      </c>
      <c r="B271" t="s">
        <v>2413</v>
      </c>
      <c r="C271">
        <v>1</v>
      </c>
      <c r="D271" t="s">
        <v>556</v>
      </c>
      <c r="E271" t="s">
        <v>10</v>
      </c>
      <c r="F271" t="s">
        <v>557</v>
      </c>
      <c r="G271" t="s">
        <v>396</v>
      </c>
      <c r="H271" t="str">
        <f>_xlfn.IFNA(+VLOOKUP(G271,Agrupacion!A:B,2,0),"")</f>
        <v>AGRUPADOR 3</v>
      </c>
      <c r="I271" t="str">
        <f>_xlfn.IFNA(+VLOOKUP(G271,Agrupacion!A:C,3,0),"")</f>
        <v>CABA SUR II</v>
      </c>
      <c r="J271" t="s">
        <v>15</v>
      </c>
      <c r="K271" t="s">
        <v>558</v>
      </c>
      <c r="L271" t="s">
        <v>559</v>
      </c>
      <c r="M271" t="s">
        <v>8</v>
      </c>
    </row>
    <row r="272" spans="1:13" x14ac:dyDescent="0.2">
      <c r="A272">
        <v>276</v>
      </c>
      <c r="B272" t="s">
        <v>2414</v>
      </c>
      <c r="C272">
        <v>1</v>
      </c>
      <c r="D272" t="s">
        <v>560</v>
      </c>
      <c r="E272" t="s">
        <v>10</v>
      </c>
      <c r="F272" t="s">
        <v>561</v>
      </c>
      <c r="G272" t="s">
        <v>170</v>
      </c>
      <c r="H272" t="str">
        <f>_xlfn.IFNA(+VLOOKUP(G272,Agrupacion!A:B,2,0),"")</f>
        <v>AGRUPADOR 2</v>
      </c>
      <c r="I272" t="str">
        <f>_xlfn.IFNA(+VLOOKUP(G272,Agrupacion!A:C,3,0),"")</f>
        <v>CABA SUR</v>
      </c>
      <c r="J272" t="s">
        <v>195</v>
      </c>
      <c r="K272" t="s">
        <v>562</v>
      </c>
      <c r="M272" t="s">
        <v>8</v>
      </c>
    </row>
    <row r="273" spans="1:13" x14ac:dyDescent="0.2">
      <c r="A273">
        <v>278</v>
      </c>
      <c r="B273" t="s">
        <v>2415</v>
      </c>
      <c r="C273">
        <v>1</v>
      </c>
      <c r="D273" t="s">
        <v>563</v>
      </c>
      <c r="E273" t="s">
        <v>10</v>
      </c>
      <c r="F273" t="s">
        <v>564</v>
      </c>
      <c r="G273" t="s">
        <v>564</v>
      </c>
      <c r="H273" t="str">
        <f>_xlfn.IFNA(+VLOOKUP(G273,Agrupacion!A:B,2,0),"")</f>
        <v>AGRUPADOR 1</v>
      </c>
      <c r="I273" t="str">
        <f>_xlfn.IFNA(+VLOOKUP(G273,Agrupacion!A:C,3,0),"")</f>
        <v>CABA NORTE</v>
      </c>
      <c r="M273" t="s">
        <v>8</v>
      </c>
    </row>
    <row r="274" spans="1:13" x14ac:dyDescent="0.2">
      <c r="A274">
        <v>279</v>
      </c>
      <c r="B274" t="s">
        <v>2416</v>
      </c>
      <c r="C274">
        <v>1</v>
      </c>
      <c r="D274" t="s">
        <v>565</v>
      </c>
      <c r="E274" t="s">
        <v>10</v>
      </c>
      <c r="F274" t="s">
        <v>566</v>
      </c>
      <c r="G274" t="s">
        <v>396</v>
      </c>
      <c r="H274" t="str">
        <f>_xlfn.IFNA(+VLOOKUP(G274,Agrupacion!A:B,2,0),"")</f>
        <v>AGRUPADOR 3</v>
      </c>
      <c r="I274" t="str">
        <f>_xlfn.IFNA(+VLOOKUP(G274,Agrupacion!A:C,3,0),"")</f>
        <v>CABA SUR II</v>
      </c>
      <c r="J274" t="s">
        <v>15</v>
      </c>
      <c r="K274" t="s">
        <v>567</v>
      </c>
      <c r="M274" t="s">
        <v>8</v>
      </c>
    </row>
    <row r="275" spans="1:13" x14ac:dyDescent="0.2">
      <c r="A275">
        <v>280</v>
      </c>
      <c r="B275" t="s">
        <v>2417</v>
      </c>
      <c r="C275">
        <v>1</v>
      </c>
      <c r="D275" t="s">
        <v>570</v>
      </c>
      <c r="E275" t="s">
        <v>10</v>
      </c>
      <c r="F275" t="s">
        <v>571</v>
      </c>
      <c r="G275" t="s">
        <v>48</v>
      </c>
      <c r="H275" t="str">
        <f>_xlfn.IFNA(+VLOOKUP(G275,Agrupacion!A:B,2,0),"")</f>
        <v>AGRUPADOR 2</v>
      </c>
      <c r="I275" t="str">
        <f>_xlfn.IFNA(+VLOOKUP(G275,Agrupacion!A:C,3,0),"")</f>
        <v>CABA SUR</v>
      </c>
      <c r="J275" t="s">
        <v>15</v>
      </c>
      <c r="K275" t="s">
        <v>572</v>
      </c>
      <c r="M275" t="s">
        <v>8</v>
      </c>
    </row>
    <row r="276" spans="1:13" x14ac:dyDescent="0.2">
      <c r="A276">
        <v>283</v>
      </c>
      <c r="B276" t="s">
        <v>2418</v>
      </c>
      <c r="C276">
        <v>1</v>
      </c>
      <c r="D276" t="s">
        <v>573</v>
      </c>
      <c r="E276" t="s">
        <v>10</v>
      </c>
      <c r="F276" t="s">
        <v>574</v>
      </c>
      <c r="G276" t="s">
        <v>249</v>
      </c>
      <c r="H276" t="str">
        <f>_xlfn.IFNA(+VLOOKUP(G276,Agrupacion!A:B,2,0),"")</f>
        <v>AGRUPADOR 2</v>
      </c>
      <c r="I276" t="str">
        <f>_xlfn.IFNA(+VLOOKUP(G276,Agrupacion!A:C,3,0),"")</f>
        <v>CABA SUR</v>
      </c>
      <c r="J276" t="s">
        <v>15</v>
      </c>
      <c r="K276" t="s">
        <v>575</v>
      </c>
      <c r="M276" t="s">
        <v>8</v>
      </c>
    </row>
    <row r="277" spans="1:13" x14ac:dyDescent="0.2">
      <c r="A277">
        <v>284</v>
      </c>
      <c r="B277" t="s">
        <v>2419</v>
      </c>
      <c r="C277">
        <v>1</v>
      </c>
      <c r="D277" t="s">
        <v>40</v>
      </c>
      <c r="F277" t="s">
        <v>41</v>
      </c>
      <c r="G277" t="s">
        <v>249</v>
      </c>
      <c r="H277" t="str">
        <f>_xlfn.IFNA(+VLOOKUP(G277,Agrupacion!A:B,2,0),"")</f>
        <v>AGRUPADOR 2</v>
      </c>
      <c r="I277" t="str">
        <f>_xlfn.IFNA(+VLOOKUP(G277,Agrupacion!A:C,3,0),"")</f>
        <v>CABA SUR</v>
      </c>
      <c r="J277" t="s">
        <v>15</v>
      </c>
      <c r="M277" t="s">
        <v>8</v>
      </c>
    </row>
    <row r="278" spans="1:13" x14ac:dyDescent="0.2">
      <c r="A278">
        <v>285</v>
      </c>
      <c r="B278" t="s">
        <v>2420</v>
      </c>
      <c r="C278">
        <v>1</v>
      </c>
      <c r="D278" t="s">
        <v>576</v>
      </c>
      <c r="E278" t="s">
        <v>10</v>
      </c>
      <c r="F278" t="s">
        <v>577</v>
      </c>
      <c r="G278" t="s">
        <v>396</v>
      </c>
      <c r="H278" t="str">
        <f>_xlfn.IFNA(+VLOOKUP(G278,Agrupacion!A:B,2,0),"")</f>
        <v>AGRUPADOR 3</v>
      </c>
      <c r="I278" t="str">
        <f>_xlfn.IFNA(+VLOOKUP(G278,Agrupacion!A:C,3,0),"")</f>
        <v>CABA SUR II</v>
      </c>
      <c r="J278" t="s">
        <v>15</v>
      </c>
      <c r="K278" t="s">
        <v>578</v>
      </c>
      <c r="M278" t="s">
        <v>8</v>
      </c>
    </row>
    <row r="279" spans="1:13" x14ac:dyDescent="0.2">
      <c r="A279">
        <v>286</v>
      </c>
      <c r="B279" t="s">
        <v>2421</v>
      </c>
      <c r="C279">
        <v>1</v>
      </c>
      <c r="D279" t="s">
        <v>579</v>
      </c>
      <c r="E279" t="s">
        <v>10</v>
      </c>
      <c r="F279" t="s">
        <v>580</v>
      </c>
      <c r="G279" t="s">
        <v>201</v>
      </c>
      <c r="H279" t="str">
        <f>_xlfn.IFNA(+VLOOKUP(G279,Agrupacion!A:B,2,0),"")</f>
        <v>AGRUPADOR 2</v>
      </c>
      <c r="I279" t="str">
        <f>_xlfn.IFNA(+VLOOKUP(G279,Agrupacion!A:C,3,0),"")</f>
        <v>CABA SUR</v>
      </c>
      <c r="M279" t="s">
        <v>8</v>
      </c>
    </row>
    <row r="280" spans="1:13" x14ac:dyDescent="0.2">
      <c r="A280">
        <v>287</v>
      </c>
      <c r="B280" t="s">
        <v>2422</v>
      </c>
      <c r="C280">
        <v>1</v>
      </c>
      <c r="D280" t="s">
        <v>581</v>
      </c>
      <c r="E280" t="s">
        <v>10</v>
      </c>
      <c r="F280" t="s">
        <v>582</v>
      </c>
      <c r="G280" t="s">
        <v>2697</v>
      </c>
      <c r="H280" t="str">
        <f>_xlfn.IFNA(+VLOOKUP(G280,Agrupacion!A:B,2,0),"")</f>
        <v>AGRUPADOR 3</v>
      </c>
      <c r="I280" t="str">
        <f>_xlfn.IFNA(+VLOOKUP(G280,Agrupacion!A:C,3,0),"")</f>
        <v>CABA SUR II</v>
      </c>
      <c r="J280" t="s">
        <v>160</v>
      </c>
      <c r="K280" t="s">
        <v>583</v>
      </c>
      <c r="M280" t="s">
        <v>8</v>
      </c>
    </row>
    <row r="281" spans="1:13" x14ac:dyDescent="0.2">
      <c r="A281">
        <v>288</v>
      </c>
      <c r="B281" t="s">
        <v>2423</v>
      </c>
      <c r="C281">
        <v>1</v>
      </c>
      <c r="D281" t="s">
        <v>584</v>
      </c>
      <c r="E281" t="s">
        <v>10</v>
      </c>
      <c r="F281" t="s">
        <v>585</v>
      </c>
      <c r="G281" t="s">
        <v>48</v>
      </c>
      <c r="H281" t="str">
        <f>_xlfn.IFNA(+VLOOKUP(G281,Agrupacion!A:B,2,0),"")</f>
        <v>AGRUPADOR 2</v>
      </c>
      <c r="I281" t="str">
        <f>_xlfn.IFNA(+VLOOKUP(G281,Agrupacion!A:C,3,0),"")</f>
        <v>CABA SUR</v>
      </c>
      <c r="K281" t="s">
        <v>586</v>
      </c>
      <c r="M281" t="s">
        <v>8</v>
      </c>
    </row>
    <row r="282" spans="1:13" x14ac:dyDescent="0.2">
      <c r="A282">
        <v>290</v>
      </c>
      <c r="B282" t="s">
        <v>2424</v>
      </c>
      <c r="C282">
        <v>1</v>
      </c>
      <c r="D282" t="s">
        <v>589</v>
      </c>
      <c r="E282" t="s">
        <v>10</v>
      </c>
      <c r="F282" t="s">
        <v>590</v>
      </c>
      <c r="G282" t="s">
        <v>249</v>
      </c>
      <c r="H282" t="str">
        <f>_xlfn.IFNA(+VLOOKUP(G282,Agrupacion!A:B,2,0),"")</f>
        <v>AGRUPADOR 2</v>
      </c>
      <c r="I282" t="str">
        <f>_xlfn.IFNA(+VLOOKUP(G282,Agrupacion!A:C,3,0),"")</f>
        <v>CABA SUR</v>
      </c>
      <c r="J282" t="s">
        <v>15</v>
      </c>
      <c r="K282" t="s">
        <v>591</v>
      </c>
      <c r="M282" t="s">
        <v>8</v>
      </c>
    </row>
    <row r="283" spans="1:13" x14ac:dyDescent="0.2">
      <c r="A283">
        <v>291</v>
      </c>
      <c r="B283" t="s">
        <v>2425</v>
      </c>
      <c r="C283">
        <v>1</v>
      </c>
      <c r="D283" t="s">
        <v>592</v>
      </c>
      <c r="E283" t="s">
        <v>10</v>
      </c>
      <c r="F283" t="s">
        <v>593</v>
      </c>
      <c r="G283" t="s">
        <v>249</v>
      </c>
      <c r="H283" t="str">
        <f>_xlfn.IFNA(+VLOOKUP(G283,Agrupacion!A:B,2,0),"")</f>
        <v>AGRUPADOR 2</v>
      </c>
      <c r="I283" t="str">
        <f>_xlfn.IFNA(+VLOOKUP(G283,Agrupacion!A:C,3,0),"")</f>
        <v>CABA SUR</v>
      </c>
      <c r="J283" t="s">
        <v>15</v>
      </c>
      <c r="K283" t="s">
        <v>594</v>
      </c>
      <c r="L283" t="s">
        <v>595</v>
      </c>
      <c r="M283" t="s">
        <v>8</v>
      </c>
    </row>
    <row r="284" spans="1:13" x14ac:dyDescent="0.2">
      <c r="A284">
        <v>293</v>
      </c>
      <c r="B284" t="s">
        <v>2426</v>
      </c>
      <c r="C284">
        <v>1</v>
      </c>
      <c r="D284" t="s">
        <v>596</v>
      </c>
      <c r="E284" t="s">
        <v>10</v>
      </c>
      <c r="F284" t="s">
        <v>597</v>
      </c>
      <c r="G284" t="s">
        <v>2699</v>
      </c>
      <c r="H284" t="str">
        <f>_xlfn.IFNA(+VLOOKUP(G284,Agrupacion!A:B,2,0),"")</f>
        <v>AGRUPADOR 2</v>
      </c>
      <c r="I284" t="str">
        <f>_xlfn.IFNA(+VLOOKUP(G284,Agrupacion!A:C,3,0),"")</f>
        <v>CABA SUR</v>
      </c>
      <c r="J284" t="s">
        <v>598</v>
      </c>
      <c r="K284" t="s">
        <v>599</v>
      </c>
      <c r="L284" t="s">
        <v>600</v>
      </c>
      <c r="M284" t="s">
        <v>8</v>
      </c>
    </row>
    <row r="285" spans="1:13" x14ac:dyDescent="0.2">
      <c r="A285">
        <v>294</v>
      </c>
      <c r="B285" t="s">
        <v>2427</v>
      </c>
      <c r="C285">
        <v>1</v>
      </c>
      <c r="D285" t="s">
        <v>601</v>
      </c>
      <c r="E285" t="s">
        <v>10</v>
      </c>
      <c r="F285" t="s">
        <v>602</v>
      </c>
      <c r="G285" t="s">
        <v>396</v>
      </c>
      <c r="H285" t="str">
        <f>_xlfn.IFNA(+VLOOKUP(G285,Agrupacion!A:B,2,0),"")</f>
        <v>AGRUPADOR 3</v>
      </c>
      <c r="I285" t="str">
        <f>_xlfn.IFNA(+VLOOKUP(G285,Agrupacion!A:C,3,0),"")</f>
        <v>CABA SUR II</v>
      </c>
      <c r="J285" t="s">
        <v>15</v>
      </c>
      <c r="K285" t="s">
        <v>603</v>
      </c>
      <c r="M285" t="s">
        <v>8</v>
      </c>
    </row>
    <row r="286" spans="1:13" x14ac:dyDescent="0.2">
      <c r="A286">
        <v>295</v>
      </c>
      <c r="B286" t="s">
        <v>2144</v>
      </c>
      <c r="C286">
        <v>1</v>
      </c>
      <c r="D286" t="s">
        <v>521</v>
      </c>
      <c r="E286" t="s">
        <v>10</v>
      </c>
      <c r="F286" t="s">
        <v>521</v>
      </c>
      <c r="G286" t="s">
        <v>170</v>
      </c>
      <c r="H286" t="str">
        <f>_xlfn.IFNA(+VLOOKUP(G286,Agrupacion!A:B,2,0),"")</f>
        <v>AGRUPADOR 2</v>
      </c>
      <c r="I286" t="str">
        <f>_xlfn.IFNA(+VLOOKUP(G286,Agrupacion!A:C,3,0),"")</f>
        <v>CABA SUR</v>
      </c>
      <c r="J286" t="s">
        <v>191</v>
      </c>
      <c r="K286" t="s">
        <v>604</v>
      </c>
      <c r="L286" t="s">
        <v>605</v>
      </c>
      <c r="M286" t="s">
        <v>8</v>
      </c>
    </row>
    <row r="287" spans="1:13" x14ac:dyDescent="0.2">
      <c r="A287">
        <v>296</v>
      </c>
      <c r="B287" t="s">
        <v>2145</v>
      </c>
      <c r="C287">
        <v>1</v>
      </c>
      <c r="D287" t="s">
        <v>606</v>
      </c>
      <c r="E287" t="s">
        <v>10</v>
      </c>
      <c r="F287" t="s">
        <v>607</v>
      </c>
      <c r="G287" t="s">
        <v>396</v>
      </c>
      <c r="H287" t="str">
        <f>_xlfn.IFNA(+VLOOKUP(G287,Agrupacion!A:B,2,0),"")</f>
        <v>AGRUPADOR 3</v>
      </c>
      <c r="I287" t="str">
        <f>_xlfn.IFNA(+VLOOKUP(G287,Agrupacion!A:C,3,0),"")</f>
        <v>CABA SUR II</v>
      </c>
      <c r="J287" t="s">
        <v>15</v>
      </c>
      <c r="K287" t="s">
        <v>608</v>
      </c>
      <c r="M287" t="s">
        <v>8</v>
      </c>
    </row>
    <row r="288" spans="1:13" x14ac:dyDescent="0.2">
      <c r="A288">
        <v>297</v>
      </c>
      <c r="B288" t="s">
        <v>2146</v>
      </c>
      <c r="C288">
        <v>1</v>
      </c>
      <c r="D288" t="s">
        <v>609</v>
      </c>
      <c r="E288" t="s">
        <v>10</v>
      </c>
      <c r="F288" t="s">
        <v>151</v>
      </c>
      <c r="G288" t="s">
        <v>170</v>
      </c>
      <c r="H288" t="str">
        <f>_xlfn.IFNA(+VLOOKUP(G288,Agrupacion!A:B,2,0),"")</f>
        <v>AGRUPADOR 2</v>
      </c>
      <c r="I288" t="str">
        <f>_xlfn.IFNA(+VLOOKUP(G288,Agrupacion!A:C,3,0),"")</f>
        <v>CABA SUR</v>
      </c>
      <c r="J288" t="s">
        <v>115</v>
      </c>
      <c r="M288" t="s">
        <v>8</v>
      </c>
    </row>
    <row r="289" spans="1:13" x14ac:dyDescent="0.2">
      <c r="A289">
        <v>298</v>
      </c>
      <c r="B289" t="s">
        <v>2147</v>
      </c>
      <c r="C289">
        <v>1</v>
      </c>
      <c r="D289" t="s">
        <v>610</v>
      </c>
      <c r="E289" t="s">
        <v>10</v>
      </c>
      <c r="F289" t="s">
        <v>611</v>
      </c>
      <c r="G289" t="s">
        <v>249</v>
      </c>
      <c r="H289" t="str">
        <f>_xlfn.IFNA(+VLOOKUP(G289,Agrupacion!A:B,2,0),"")</f>
        <v>AGRUPADOR 2</v>
      </c>
      <c r="I289" t="str">
        <f>_xlfn.IFNA(+VLOOKUP(G289,Agrupacion!A:C,3,0),"")</f>
        <v>CABA SUR</v>
      </c>
      <c r="J289" t="s">
        <v>209</v>
      </c>
      <c r="K289" t="s">
        <v>612</v>
      </c>
      <c r="M289" t="s">
        <v>8</v>
      </c>
    </row>
    <row r="290" spans="1:13" x14ac:dyDescent="0.2">
      <c r="A290">
        <v>299</v>
      </c>
      <c r="B290" t="s">
        <v>2148</v>
      </c>
      <c r="C290">
        <v>1</v>
      </c>
      <c r="D290" t="s">
        <v>613</v>
      </c>
      <c r="E290" t="s">
        <v>10</v>
      </c>
      <c r="F290" t="s">
        <v>614</v>
      </c>
      <c r="G290" t="s">
        <v>201</v>
      </c>
      <c r="H290" t="str">
        <f>_xlfn.IFNA(+VLOOKUP(G290,Agrupacion!A:B,2,0),"")</f>
        <v>AGRUPADOR 2</v>
      </c>
      <c r="I290" t="str">
        <f>_xlfn.IFNA(+VLOOKUP(G290,Agrupacion!A:C,3,0),"")</f>
        <v>CABA SUR</v>
      </c>
      <c r="J290" t="s">
        <v>15</v>
      </c>
      <c r="K290" t="s">
        <v>615</v>
      </c>
      <c r="M290" t="s">
        <v>8</v>
      </c>
    </row>
    <row r="291" spans="1:13" x14ac:dyDescent="0.2">
      <c r="A291">
        <v>300</v>
      </c>
      <c r="B291" t="s">
        <v>2149</v>
      </c>
      <c r="C291">
        <v>1</v>
      </c>
      <c r="D291" t="s">
        <v>621</v>
      </c>
      <c r="E291" t="s">
        <v>10</v>
      </c>
      <c r="F291" t="s">
        <v>622</v>
      </c>
      <c r="G291" t="s">
        <v>396</v>
      </c>
      <c r="H291" t="str">
        <f>_xlfn.IFNA(+VLOOKUP(G291,Agrupacion!A:B,2,0),"")</f>
        <v>AGRUPADOR 3</v>
      </c>
      <c r="I291" t="str">
        <f>_xlfn.IFNA(+VLOOKUP(G291,Agrupacion!A:C,3,0),"")</f>
        <v>CABA SUR II</v>
      </c>
      <c r="K291" t="s">
        <v>623</v>
      </c>
      <c r="M291" t="s">
        <v>8</v>
      </c>
    </row>
    <row r="292" spans="1:13" x14ac:dyDescent="0.2">
      <c r="A292">
        <v>302</v>
      </c>
      <c r="B292" t="s">
        <v>2150</v>
      </c>
      <c r="C292">
        <v>1</v>
      </c>
      <c r="D292" t="s">
        <v>624</v>
      </c>
      <c r="E292" t="s">
        <v>10</v>
      </c>
      <c r="F292" t="s">
        <v>625</v>
      </c>
      <c r="G292" t="s">
        <v>170</v>
      </c>
      <c r="H292" t="str">
        <f>_xlfn.IFNA(+VLOOKUP(G292,Agrupacion!A:B,2,0),"")</f>
        <v>AGRUPADOR 2</v>
      </c>
      <c r="I292" t="str">
        <f>_xlfn.IFNA(+VLOOKUP(G292,Agrupacion!A:C,3,0),"")</f>
        <v>CABA SUR</v>
      </c>
      <c r="J292" t="s">
        <v>626</v>
      </c>
      <c r="K292" t="s">
        <v>627</v>
      </c>
      <c r="M292" t="s">
        <v>8</v>
      </c>
    </row>
    <row r="293" spans="1:13" x14ac:dyDescent="0.2">
      <c r="A293">
        <v>303</v>
      </c>
      <c r="B293" t="s">
        <v>2151</v>
      </c>
      <c r="C293">
        <v>1</v>
      </c>
      <c r="D293" t="s">
        <v>628</v>
      </c>
      <c r="E293" t="s">
        <v>10</v>
      </c>
      <c r="F293" t="s">
        <v>629</v>
      </c>
      <c r="G293" t="s">
        <v>396</v>
      </c>
      <c r="H293" t="str">
        <f>_xlfn.IFNA(+VLOOKUP(G293,Agrupacion!A:B,2,0),"")</f>
        <v>AGRUPADOR 3</v>
      </c>
      <c r="I293" t="str">
        <f>_xlfn.IFNA(+VLOOKUP(G293,Agrupacion!A:C,3,0),"")</f>
        <v>CABA SUR II</v>
      </c>
      <c r="J293" t="s">
        <v>15</v>
      </c>
      <c r="K293" t="s">
        <v>630</v>
      </c>
      <c r="M293" t="s">
        <v>8</v>
      </c>
    </row>
    <row r="294" spans="1:13" x14ac:dyDescent="0.2">
      <c r="A294">
        <v>304</v>
      </c>
      <c r="B294" t="s">
        <v>2152</v>
      </c>
      <c r="C294">
        <v>1</v>
      </c>
      <c r="D294" t="s">
        <v>631</v>
      </c>
      <c r="E294" t="s">
        <v>10</v>
      </c>
      <c r="F294" t="s">
        <v>632</v>
      </c>
      <c r="G294" t="s">
        <v>249</v>
      </c>
      <c r="H294" t="str">
        <f>_xlfn.IFNA(+VLOOKUP(G294,Agrupacion!A:B,2,0),"")</f>
        <v>AGRUPADOR 2</v>
      </c>
      <c r="I294" t="str">
        <f>_xlfn.IFNA(+VLOOKUP(G294,Agrupacion!A:C,3,0),"")</f>
        <v>CABA SUR</v>
      </c>
      <c r="J294" t="s">
        <v>15</v>
      </c>
      <c r="K294" t="s">
        <v>633</v>
      </c>
      <c r="L294" t="s">
        <v>634</v>
      </c>
      <c r="M294" t="s">
        <v>8</v>
      </c>
    </row>
    <row r="295" spans="1:13" x14ac:dyDescent="0.2">
      <c r="A295">
        <v>305</v>
      </c>
      <c r="B295" t="s">
        <v>2153</v>
      </c>
      <c r="C295">
        <v>1</v>
      </c>
      <c r="D295" t="s">
        <v>635</v>
      </c>
      <c r="E295" t="s">
        <v>10</v>
      </c>
      <c r="F295" t="s">
        <v>636</v>
      </c>
      <c r="G295" t="s">
        <v>396</v>
      </c>
      <c r="H295" t="str">
        <f>_xlfn.IFNA(+VLOOKUP(G295,Agrupacion!A:B,2,0),"")</f>
        <v>AGRUPADOR 3</v>
      </c>
      <c r="I295" t="str">
        <f>_xlfn.IFNA(+VLOOKUP(G295,Agrupacion!A:C,3,0),"")</f>
        <v>CABA SUR II</v>
      </c>
      <c r="J295" t="s">
        <v>15</v>
      </c>
      <c r="K295" t="s">
        <v>637</v>
      </c>
      <c r="M295" t="s">
        <v>8</v>
      </c>
    </row>
    <row r="296" spans="1:13" x14ac:dyDescent="0.2">
      <c r="A296">
        <v>306</v>
      </c>
      <c r="B296" t="s">
        <v>2154</v>
      </c>
      <c r="C296">
        <v>1</v>
      </c>
      <c r="D296" t="s">
        <v>638</v>
      </c>
      <c r="E296" t="s">
        <v>10</v>
      </c>
      <c r="F296" t="s">
        <v>639</v>
      </c>
      <c r="G296" t="s">
        <v>396</v>
      </c>
      <c r="H296" t="str">
        <f>_xlfn.IFNA(+VLOOKUP(G296,Agrupacion!A:B,2,0),"")</f>
        <v>AGRUPADOR 3</v>
      </c>
      <c r="I296" t="str">
        <f>_xlfn.IFNA(+VLOOKUP(G296,Agrupacion!A:C,3,0),"")</f>
        <v>CABA SUR II</v>
      </c>
      <c r="K296" t="s">
        <v>16</v>
      </c>
      <c r="M296" t="s">
        <v>8</v>
      </c>
    </row>
    <row r="297" spans="1:13" x14ac:dyDescent="0.2">
      <c r="A297">
        <v>307</v>
      </c>
      <c r="B297" t="s">
        <v>2278</v>
      </c>
      <c r="C297">
        <v>1</v>
      </c>
      <c r="D297" t="s">
        <v>640</v>
      </c>
      <c r="E297" t="s">
        <v>10</v>
      </c>
      <c r="F297" t="s">
        <v>41</v>
      </c>
      <c r="G297" t="s">
        <v>249</v>
      </c>
      <c r="H297" t="str">
        <f>_xlfn.IFNA(+VLOOKUP(G297,Agrupacion!A:B,2,0),"")</f>
        <v>AGRUPADOR 2</v>
      </c>
      <c r="I297" t="str">
        <f>_xlfn.IFNA(+VLOOKUP(G297,Agrupacion!A:C,3,0),"")</f>
        <v>CABA SUR</v>
      </c>
      <c r="M297" t="s">
        <v>8</v>
      </c>
    </row>
    <row r="298" spans="1:13" x14ac:dyDescent="0.2">
      <c r="A298">
        <v>308</v>
      </c>
      <c r="B298" t="s">
        <v>2279</v>
      </c>
      <c r="C298">
        <v>1</v>
      </c>
      <c r="D298" t="s">
        <v>641</v>
      </c>
      <c r="E298" t="s">
        <v>10</v>
      </c>
      <c r="F298" t="s">
        <v>642</v>
      </c>
      <c r="G298" t="s">
        <v>396</v>
      </c>
      <c r="H298" t="str">
        <f>_xlfn.IFNA(+VLOOKUP(G298,Agrupacion!A:B,2,0),"")</f>
        <v>AGRUPADOR 3</v>
      </c>
      <c r="I298" t="str">
        <f>_xlfn.IFNA(+VLOOKUP(G298,Agrupacion!A:C,3,0),"")</f>
        <v>CABA SUR II</v>
      </c>
      <c r="M298" t="s">
        <v>8</v>
      </c>
    </row>
    <row r="299" spans="1:13" x14ac:dyDescent="0.2">
      <c r="A299">
        <v>309</v>
      </c>
      <c r="B299" t="s">
        <v>2280</v>
      </c>
      <c r="C299">
        <v>1</v>
      </c>
      <c r="D299" t="s">
        <v>643</v>
      </c>
      <c r="E299" t="s">
        <v>10</v>
      </c>
      <c r="F299" t="s">
        <v>644</v>
      </c>
      <c r="G299" t="s">
        <v>842</v>
      </c>
      <c r="H299" t="str">
        <f>_xlfn.IFNA(+VLOOKUP(G299,Agrupacion!A:B,2,0),"")</f>
        <v>AGRUPADOR 1</v>
      </c>
      <c r="I299" t="str">
        <f>_xlfn.IFNA(+VLOOKUP(G299,Agrupacion!A:C,3,0),"")</f>
        <v>CABA NORTE</v>
      </c>
      <c r="J299" t="s">
        <v>645</v>
      </c>
      <c r="K299" t="s">
        <v>646</v>
      </c>
      <c r="M299" t="s">
        <v>8</v>
      </c>
    </row>
    <row r="300" spans="1:13" x14ac:dyDescent="0.2">
      <c r="A300">
        <v>310</v>
      </c>
      <c r="B300" t="s">
        <v>2281</v>
      </c>
      <c r="C300">
        <v>1</v>
      </c>
      <c r="D300" t="s">
        <v>650</v>
      </c>
      <c r="E300" t="s">
        <v>10</v>
      </c>
      <c r="F300" t="s">
        <v>651</v>
      </c>
      <c r="G300" t="s">
        <v>357</v>
      </c>
      <c r="H300" t="str">
        <f>_xlfn.IFNA(+VLOOKUP(G300,Agrupacion!A:B,2,0),"")</f>
        <v>AGRUPADOR 3</v>
      </c>
      <c r="I300" t="str">
        <f>_xlfn.IFNA(+VLOOKUP(G300,Agrupacion!A:C,3,0),"")</f>
        <v>CABA SUR II</v>
      </c>
      <c r="J300" t="s">
        <v>282</v>
      </c>
      <c r="K300" t="s">
        <v>652</v>
      </c>
      <c r="L300" t="s">
        <v>653</v>
      </c>
      <c r="M300" t="s">
        <v>8</v>
      </c>
    </row>
    <row r="301" spans="1:13" x14ac:dyDescent="0.2">
      <c r="A301">
        <v>311</v>
      </c>
      <c r="B301" t="s">
        <v>2282</v>
      </c>
      <c r="C301">
        <v>1</v>
      </c>
      <c r="D301" t="s">
        <v>654</v>
      </c>
      <c r="E301" t="s">
        <v>10</v>
      </c>
      <c r="F301" t="s">
        <v>655</v>
      </c>
      <c r="G301" t="s">
        <v>396</v>
      </c>
      <c r="H301" t="str">
        <f>_xlfn.IFNA(+VLOOKUP(G301,Agrupacion!A:B,2,0),"")</f>
        <v>AGRUPADOR 3</v>
      </c>
      <c r="I301" t="str">
        <f>_xlfn.IFNA(+VLOOKUP(G301,Agrupacion!A:C,3,0),"")</f>
        <v>CABA SUR II</v>
      </c>
      <c r="J301" t="s">
        <v>15</v>
      </c>
      <c r="K301" t="s">
        <v>656</v>
      </c>
      <c r="M301" t="s">
        <v>8</v>
      </c>
    </row>
    <row r="302" spans="1:13" x14ac:dyDescent="0.2">
      <c r="A302">
        <v>312</v>
      </c>
      <c r="B302" t="s">
        <v>2283</v>
      </c>
      <c r="C302">
        <v>1</v>
      </c>
      <c r="D302" t="s">
        <v>657</v>
      </c>
      <c r="F302" t="s">
        <v>658</v>
      </c>
      <c r="G302" t="s">
        <v>249</v>
      </c>
      <c r="H302" t="str">
        <f>_xlfn.IFNA(+VLOOKUP(G302,Agrupacion!A:B,2,0),"")</f>
        <v>AGRUPADOR 2</v>
      </c>
      <c r="I302" t="str">
        <f>_xlfn.IFNA(+VLOOKUP(G302,Agrupacion!A:C,3,0),"")</f>
        <v>CABA SUR</v>
      </c>
      <c r="K302" t="s">
        <v>659</v>
      </c>
      <c r="M302" t="s">
        <v>8</v>
      </c>
    </row>
    <row r="303" spans="1:13" x14ac:dyDescent="0.2">
      <c r="A303">
        <v>313</v>
      </c>
      <c r="B303" t="s">
        <v>2284</v>
      </c>
      <c r="C303">
        <v>1</v>
      </c>
      <c r="D303" t="s">
        <v>660</v>
      </c>
      <c r="E303" t="s">
        <v>10</v>
      </c>
      <c r="F303" t="s">
        <v>661</v>
      </c>
      <c r="G303" t="s">
        <v>249</v>
      </c>
      <c r="H303" t="str">
        <f>_xlfn.IFNA(+VLOOKUP(G303,Agrupacion!A:B,2,0),"")</f>
        <v>AGRUPADOR 2</v>
      </c>
      <c r="I303" t="str">
        <f>_xlfn.IFNA(+VLOOKUP(G303,Agrupacion!A:C,3,0),"")</f>
        <v>CABA SUR</v>
      </c>
      <c r="J303" t="s">
        <v>209</v>
      </c>
      <c r="K303" t="s">
        <v>662</v>
      </c>
      <c r="M303" t="s">
        <v>8</v>
      </c>
    </row>
    <row r="304" spans="1:13" x14ac:dyDescent="0.2">
      <c r="A304">
        <v>314</v>
      </c>
      <c r="B304" t="s">
        <v>2285</v>
      </c>
      <c r="C304">
        <v>1</v>
      </c>
      <c r="D304" t="s">
        <v>663</v>
      </c>
      <c r="E304" t="s">
        <v>10</v>
      </c>
      <c r="F304" t="s">
        <v>664</v>
      </c>
      <c r="G304" t="s">
        <v>170</v>
      </c>
      <c r="H304" t="str">
        <f>_xlfn.IFNA(+VLOOKUP(G304,Agrupacion!A:B,2,0),"")</f>
        <v>AGRUPADOR 2</v>
      </c>
      <c r="I304" t="str">
        <f>_xlfn.IFNA(+VLOOKUP(G304,Agrupacion!A:C,3,0),"")</f>
        <v>CABA SUR</v>
      </c>
      <c r="J304" t="s">
        <v>160</v>
      </c>
      <c r="K304" t="s">
        <v>161</v>
      </c>
      <c r="M304" t="s">
        <v>8</v>
      </c>
    </row>
    <row r="305" spans="1:13" x14ac:dyDescent="0.2">
      <c r="A305">
        <v>315</v>
      </c>
      <c r="B305" t="s">
        <v>2286</v>
      </c>
      <c r="C305">
        <v>1</v>
      </c>
      <c r="D305" t="s">
        <v>665</v>
      </c>
      <c r="E305" t="s">
        <v>10</v>
      </c>
      <c r="F305" t="s">
        <v>220</v>
      </c>
      <c r="G305" t="s">
        <v>396</v>
      </c>
      <c r="H305" t="str">
        <f>_xlfn.IFNA(+VLOOKUP(G305,Agrupacion!A:B,2,0),"")</f>
        <v>AGRUPADOR 3</v>
      </c>
      <c r="I305" t="str">
        <f>_xlfn.IFNA(+VLOOKUP(G305,Agrupacion!A:C,3,0),"")</f>
        <v>CABA SUR II</v>
      </c>
      <c r="J305" t="s">
        <v>15</v>
      </c>
      <c r="M305" t="s">
        <v>8</v>
      </c>
    </row>
    <row r="306" spans="1:13" x14ac:dyDescent="0.2">
      <c r="A306">
        <v>316</v>
      </c>
      <c r="B306" t="s">
        <v>2287</v>
      </c>
      <c r="C306">
        <v>1</v>
      </c>
      <c r="D306" t="s">
        <v>666</v>
      </c>
      <c r="E306" t="s">
        <v>10</v>
      </c>
      <c r="F306" t="s">
        <v>667</v>
      </c>
      <c r="G306" t="s">
        <v>249</v>
      </c>
      <c r="H306" t="str">
        <f>_xlfn.IFNA(+VLOOKUP(G306,Agrupacion!A:B,2,0),"")</f>
        <v>AGRUPADOR 2</v>
      </c>
      <c r="I306" t="str">
        <f>_xlfn.IFNA(+VLOOKUP(G306,Agrupacion!A:C,3,0),"")</f>
        <v>CABA SUR</v>
      </c>
      <c r="M306" t="s">
        <v>8</v>
      </c>
    </row>
    <row r="307" spans="1:13" x14ac:dyDescent="0.2">
      <c r="A307">
        <v>317</v>
      </c>
      <c r="B307" t="s">
        <v>2288</v>
      </c>
      <c r="C307">
        <v>1</v>
      </c>
      <c r="D307" t="s">
        <v>668</v>
      </c>
      <c r="E307" t="s">
        <v>10</v>
      </c>
      <c r="F307" t="s">
        <v>669</v>
      </c>
      <c r="G307" t="s">
        <v>357</v>
      </c>
      <c r="H307" t="str">
        <f>_xlfn.IFNA(+VLOOKUP(G307,Agrupacion!A:B,2,0),"")</f>
        <v>AGRUPADOR 3</v>
      </c>
      <c r="I307" t="str">
        <f>_xlfn.IFNA(+VLOOKUP(G307,Agrupacion!A:C,3,0),"")</f>
        <v>CABA SUR II</v>
      </c>
      <c r="J307" t="s">
        <v>109</v>
      </c>
      <c r="K307" t="s">
        <v>670</v>
      </c>
      <c r="M307" t="s">
        <v>8</v>
      </c>
    </row>
    <row r="308" spans="1:13" x14ac:dyDescent="0.2">
      <c r="A308">
        <v>318</v>
      </c>
      <c r="B308" t="s">
        <v>2289</v>
      </c>
      <c r="C308">
        <v>1</v>
      </c>
      <c r="D308" t="s">
        <v>671</v>
      </c>
      <c r="E308" t="s">
        <v>10</v>
      </c>
      <c r="F308" t="s">
        <v>672</v>
      </c>
      <c r="G308" t="s">
        <v>48</v>
      </c>
      <c r="H308" t="str">
        <f>_xlfn.IFNA(+VLOOKUP(G308,Agrupacion!A:B,2,0),"")</f>
        <v>AGRUPADOR 2</v>
      </c>
      <c r="I308" t="str">
        <f>_xlfn.IFNA(+VLOOKUP(G308,Agrupacion!A:C,3,0),"")</f>
        <v>CABA SUR</v>
      </c>
      <c r="J308" t="s">
        <v>15</v>
      </c>
      <c r="K308" t="s">
        <v>673</v>
      </c>
      <c r="M308" t="s">
        <v>8</v>
      </c>
    </row>
    <row r="309" spans="1:13" x14ac:dyDescent="0.2">
      <c r="A309">
        <v>319</v>
      </c>
      <c r="B309" t="s">
        <v>2290</v>
      </c>
      <c r="C309">
        <v>1</v>
      </c>
      <c r="D309" t="s">
        <v>674</v>
      </c>
      <c r="F309" t="s">
        <v>675</v>
      </c>
      <c r="G309" t="s">
        <v>249</v>
      </c>
      <c r="H309" t="str">
        <f>_xlfn.IFNA(+VLOOKUP(G309,Agrupacion!A:B,2,0),"")</f>
        <v>AGRUPADOR 2</v>
      </c>
      <c r="I309" t="str">
        <f>_xlfn.IFNA(+VLOOKUP(G309,Agrupacion!A:C,3,0),"")</f>
        <v>CABA SUR</v>
      </c>
      <c r="J309" t="s">
        <v>115</v>
      </c>
      <c r="M309" t="s">
        <v>8</v>
      </c>
    </row>
    <row r="310" spans="1:13" x14ac:dyDescent="0.2">
      <c r="A310">
        <v>320</v>
      </c>
      <c r="B310" t="s">
        <v>2291</v>
      </c>
      <c r="C310">
        <v>1</v>
      </c>
      <c r="D310" t="s">
        <v>679</v>
      </c>
      <c r="E310" t="s">
        <v>10</v>
      </c>
      <c r="F310" t="s">
        <v>680</v>
      </c>
      <c r="G310" t="s">
        <v>396</v>
      </c>
      <c r="H310" t="str">
        <f>_xlfn.IFNA(+VLOOKUP(G310,Agrupacion!A:B,2,0),"")</f>
        <v>AGRUPADOR 3</v>
      </c>
      <c r="I310" t="str">
        <f>_xlfn.IFNA(+VLOOKUP(G310,Agrupacion!A:C,3,0),"")</f>
        <v>CABA SUR II</v>
      </c>
      <c r="J310" t="s">
        <v>15</v>
      </c>
      <c r="K310" t="s">
        <v>681</v>
      </c>
      <c r="M310" t="s">
        <v>8</v>
      </c>
    </row>
    <row r="311" spans="1:13" x14ac:dyDescent="0.2">
      <c r="A311">
        <v>321</v>
      </c>
      <c r="B311" t="s">
        <v>2292</v>
      </c>
      <c r="C311">
        <v>1</v>
      </c>
      <c r="D311" t="s">
        <v>682</v>
      </c>
      <c r="E311" t="s">
        <v>10</v>
      </c>
      <c r="F311" t="s">
        <v>683</v>
      </c>
      <c r="G311" t="s">
        <v>396</v>
      </c>
      <c r="H311" t="str">
        <f>_xlfn.IFNA(+VLOOKUP(G311,Agrupacion!A:B,2,0),"")</f>
        <v>AGRUPADOR 3</v>
      </c>
      <c r="I311" t="str">
        <f>_xlfn.IFNA(+VLOOKUP(G311,Agrupacion!A:C,3,0),"")</f>
        <v>CABA SUR II</v>
      </c>
      <c r="K311" t="s">
        <v>684</v>
      </c>
      <c r="M311" t="s">
        <v>8</v>
      </c>
    </row>
    <row r="312" spans="1:13" x14ac:dyDescent="0.2">
      <c r="A312">
        <v>322</v>
      </c>
      <c r="B312" t="s">
        <v>2293</v>
      </c>
      <c r="C312">
        <v>1</v>
      </c>
      <c r="D312" t="s">
        <v>685</v>
      </c>
      <c r="E312" t="s">
        <v>10</v>
      </c>
      <c r="F312" t="s">
        <v>686</v>
      </c>
      <c r="G312" t="s">
        <v>396</v>
      </c>
      <c r="H312" t="str">
        <f>_xlfn.IFNA(+VLOOKUP(G312,Agrupacion!A:B,2,0),"")</f>
        <v>AGRUPADOR 3</v>
      </c>
      <c r="I312" t="str">
        <f>_xlfn.IFNA(+VLOOKUP(G312,Agrupacion!A:C,3,0),"")</f>
        <v>CABA SUR II</v>
      </c>
      <c r="K312" t="s">
        <v>552</v>
      </c>
      <c r="M312" t="s">
        <v>8</v>
      </c>
    </row>
    <row r="313" spans="1:13" x14ac:dyDescent="0.2">
      <c r="A313">
        <v>323</v>
      </c>
      <c r="B313" t="s">
        <v>2294</v>
      </c>
      <c r="C313">
        <v>1</v>
      </c>
      <c r="D313" t="s">
        <v>687</v>
      </c>
      <c r="E313" t="s">
        <v>10</v>
      </c>
      <c r="F313" t="s">
        <v>688</v>
      </c>
      <c r="G313" t="s">
        <v>396</v>
      </c>
      <c r="H313" t="str">
        <f>_xlfn.IFNA(+VLOOKUP(G313,Agrupacion!A:B,2,0),"")</f>
        <v>AGRUPADOR 3</v>
      </c>
      <c r="I313" t="str">
        <f>_xlfn.IFNA(+VLOOKUP(G313,Agrupacion!A:C,3,0),"")</f>
        <v>CABA SUR II</v>
      </c>
      <c r="J313" t="s">
        <v>15</v>
      </c>
      <c r="K313" t="s">
        <v>689</v>
      </c>
      <c r="M313" t="s">
        <v>8</v>
      </c>
    </row>
    <row r="314" spans="1:13" x14ac:dyDescent="0.2">
      <c r="A314">
        <v>324</v>
      </c>
      <c r="B314" t="s">
        <v>2295</v>
      </c>
      <c r="C314">
        <v>1</v>
      </c>
      <c r="D314" t="s">
        <v>690</v>
      </c>
      <c r="E314" t="s">
        <v>10</v>
      </c>
      <c r="F314" t="s">
        <v>691</v>
      </c>
      <c r="G314" t="s">
        <v>396</v>
      </c>
      <c r="H314" t="str">
        <f>_xlfn.IFNA(+VLOOKUP(G314,Agrupacion!A:B,2,0),"")</f>
        <v>AGRUPADOR 3</v>
      </c>
      <c r="I314" t="str">
        <f>_xlfn.IFNA(+VLOOKUP(G314,Agrupacion!A:C,3,0),"")</f>
        <v>CABA SUR II</v>
      </c>
      <c r="J314" t="s">
        <v>15</v>
      </c>
      <c r="K314" t="s">
        <v>692</v>
      </c>
      <c r="M314" t="s">
        <v>8</v>
      </c>
    </row>
    <row r="315" spans="1:13" x14ac:dyDescent="0.2">
      <c r="A315">
        <v>325</v>
      </c>
      <c r="B315" t="s">
        <v>2296</v>
      </c>
      <c r="C315">
        <v>1</v>
      </c>
      <c r="D315" t="s">
        <v>693</v>
      </c>
      <c r="E315" t="s">
        <v>10</v>
      </c>
      <c r="F315" t="s">
        <v>651</v>
      </c>
      <c r="G315" t="s">
        <v>357</v>
      </c>
      <c r="H315" t="str">
        <f>_xlfn.IFNA(+VLOOKUP(G315,Agrupacion!A:B,2,0),"")</f>
        <v>AGRUPADOR 3</v>
      </c>
      <c r="I315" t="str">
        <f>_xlfn.IFNA(+VLOOKUP(G315,Agrupacion!A:C,3,0),"")</f>
        <v>CABA SUR II</v>
      </c>
      <c r="K315" t="s">
        <v>694</v>
      </c>
      <c r="M315" t="s">
        <v>8</v>
      </c>
    </row>
    <row r="316" spans="1:13" x14ac:dyDescent="0.2">
      <c r="A316">
        <v>326</v>
      </c>
      <c r="B316" t="s">
        <v>2297</v>
      </c>
      <c r="C316">
        <v>1</v>
      </c>
      <c r="D316" t="s">
        <v>695</v>
      </c>
      <c r="E316" t="s">
        <v>10</v>
      </c>
      <c r="F316" t="s">
        <v>696</v>
      </c>
      <c r="G316" t="s">
        <v>170</v>
      </c>
      <c r="H316" t="str">
        <f>_xlfn.IFNA(+VLOOKUP(G316,Agrupacion!A:B,2,0),"")</f>
        <v>AGRUPADOR 2</v>
      </c>
      <c r="I316" t="str">
        <f>_xlfn.IFNA(+VLOOKUP(G316,Agrupacion!A:C,3,0),"")</f>
        <v>CABA SUR</v>
      </c>
      <c r="J316" t="s">
        <v>115</v>
      </c>
      <c r="K316" t="s">
        <v>697</v>
      </c>
      <c r="M316" t="s">
        <v>8</v>
      </c>
    </row>
    <row r="317" spans="1:13" x14ac:dyDescent="0.2">
      <c r="A317">
        <v>327</v>
      </c>
      <c r="B317" t="s">
        <v>2298</v>
      </c>
      <c r="C317">
        <v>1</v>
      </c>
      <c r="D317" t="s">
        <v>698</v>
      </c>
      <c r="E317" t="s">
        <v>10</v>
      </c>
      <c r="F317" t="s">
        <v>699</v>
      </c>
      <c r="G317" t="s">
        <v>170</v>
      </c>
      <c r="H317" t="str">
        <f>_xlfn.IFNA(+VLOOKUP(G317,Agrupacion!A:B,2,0),"")</f>
        <v>AGRUPADOR 2</v>
      </c>
      <c r="I317" t="str">
        <f>_xlfn.IFNA(+VLOOKUP(G317,Agrupacion!A:C,3,0),"")</f>
        <v>CABA SUR</v>
      </c>
      <c r="J317" t="s">
        <v>115</v>
      </c>
      <c r="K317" t="s">
        <v>700</v>
      </c>
      <c r="M317" t="s">
        <v>8</v>
      </c>
    </row>
    <row r="318" spans="1:13" x14ac:dyDescent="0.2">
      <c r="A318">
        <v>328</v>
      </c>
      <c r="B318" t="s">
        <v>2299</v>
      </c>
      <c r="C318">
        <v>1</v>
      </c>
      <c r="D318" t="s">
        <v>640</v>
      </c>
      <c r="E318" t="s">
        <v>10</v>
      </c>
      <c r="F318" t="s">
        <v>41</v>
      </c>
      <c r="G318" t="s">
        <v>249</v>
      </c>
      <c r="H318" t="str">
        <f>_xlfn.IFNA(+VLOOKUP(G318,Agrupacion!A:B,2,0),"")</f>
        <v>AGRUPADOR 2</v>
      </c>
      <c r="I318" t="str">
        <f>_xlfn.IFNA(+VLOOKUP(G318,Agrupacion!A:C,3,0),"")</f>
        <v>CABA SUR</v>
      </c>
      <c r="J318" t="s">
        <v>15</v>
      </c>
      <c r="K318" t="s">
        <v>42</v>
      </c>
      <c r="M318" t="s">
        <v>8</v>
      </c>
    </row>
    <row r="319" spans="1:13" x14ac:dyDescent="0.2">
      <c r="A319">
        <v>329</v>
      </c>
      <c r="B319" t="s">
        <v>2300</v>
      </c>
      <c r="C319">
        <v>1</v>
      </c>
      <c r="D319" t="s">
        <v>701</v>
      </c>
      <c r="E319" t="s">
        <v>10</v>
      </c>
      <c r="F319" t="s">
        <v>702</v>
      </c>
      <c r="G319" t="s">
        <v>2697</v>
      </c>
      <c r="H319" t="str">
        <f>_xlfn.IFNA(+VLOOKUP(G319,Agrupacion!A:B,2,0),"")</f>
        <v>AGRUPADOR 3</v>
      </c>
      <c r="I319" t="str">
        <f>_xlfn.IFNA(+VLOOKUP(G319,Agrupacion!A:C,3,0),"")</f>
        <v>CABA SUR II</v>
      </c>
      <c r="J319" t="s">
        <v>62</v>
      </c>
      <c r="K319" t="s">
        <v>703</v>
      </c>
      <c r="M319" t="s">
        <v>8</v>
      </c>
    </row>
    <row r="320" spans="1:13" x14ac:dyDescent="0.2">
      <c r="A320">
        <v>330</v>
      </c>
      <c r="B320" t="s">
        <v>2301</v>
      </c>
      <c r="C320">
        <v>1</v>
      </c>
      <c r="D320" t="s">
        <v>20</v>
      </c>
      <c r="E320" t="s">
        <v>10</v>
      </c>
      <c r="F320" t="s">
        <v>21</v>
      </c>
      <c r="G320" t="s">
        <v>396</v>
      </c>
      <c r="H320" t="str">
        <f>_xlfn.IFNA(+VLOOKUP(G320,Agrupacion!A:B,2,0),"")</f>
        <v>AGRUPADOR 3</v>
      </c>
      <c r="I320" t="str">
        <f>_xlfn.IFNA(+VLOOKUP(G320,Agrupacion!A:C,3,0),"")</f>
        <v>CABA SUR II</v>
      </c>
      <c r="J320" t="s">
        <v>15</v>
      </c>
      <c r="K320" t="s">
        <v>707</v>
      </c>
      <c r="L320" t="s">
        <v>708</v>
      </c>
      <c r="M320" t="s">
        <v>8</v>
      </c>
    </row>
    <row r="321" spans="1:13" x14ac:dyDescent="0.2">
      <c r="A321">
        <v>331</v>
      </c>
      <c r="B321" t="s">
        <v>2302</v>
      </c>
      <c r="C321">
        <v>1</v>
      </c>
      <c r="D321" t="s">
        <v>709</v>
      </c>
      <c r="E321" t="s">
        <v>10</v>
      </c>
      <c r="F321" t="s">
        <v>710</v>
      </c>
      <c r="G321" t="s">
        <v>396</v>
      </c>
      <c r="H321" t="str">
        <f>_xlfn.IFNA(+VLOOKUP(G321,Agrupacion!A:B,2,0),"")</f>
        <v>AGRUPADOR 3</v>
      </c>
      <c r="I321" t="str">
        <f>_xlfn.IFNA(+VLOOKUP(G321,Agrupacion!A:C,3,0),"")</f>
        <v>CABA SUR II</v>
      </c>
      <c r="J321" t="s">
        <v>15</v>
      </c>
      <c r="K321" t="s">
        <v>711</v>
      </c>
      <c r="M321" t="s">
        <v>8</v>
      </c>
    </row>
    <row r="322" spans="1:13" x14ac:dyDescent="0.2">
      <c r="A322">
        <v>332</v>
      </c>
      <c r="B322" t="s">
        <v>2303</v>
      </c>
      <c r="C322">
        <v>1</v>
      </c>
      <c r="D322" t="s">
        <v>712</v>
      </c>
      <c r="E322" t="s">
        <v>10</v>
      </c>
      <c r="F322" t="s">
        <v>713</v>
      </c>
      <c r="G322" t="s">
        <v>396</v>
      </c>
      <c r="H322" t="str">
        <f>_xlfn.IFNA(+VLOOKUP(G322,Agrupacion!A:B,2,0),"")</f>
        <v>AGRUPADOR 3</v>
      </c>
      <c r="I322" t="str">
        <f>_xlfn.IFNA(+VLOOKUP(G322,Agrupacion!A:C,3,0),"")</f>
        <v>CABA SUR II</v>
      </c>
      <c r="J322" t="s">
        <v>15</v>
      </c>
      <c r="K322" t="s">
        <v>714</v>
      </c>
      <c r="M322" t="s">
        <v>8</v>
      </c>
    </row>
    <row r="323" spans="1:13" x14ac:dyDescent="0.2">
      <c r="A323">
        <v>333</v>
      </c>
      <c r="B323" t="s">
        <v>2304</v>
      </c>
      <c r="C323">
        <v>1</v>
      </c>
      <c r="D323" t="s">
        <v>715</v>
      </c>
      <c r="E323" t="s">
        <v>10</v>
      </c>
      <c r="F323" t="s">
        <v>716</v>
      </c>
      <c r="G323" t="s">
        <v>170</v>
      </c>
      <c r="H323" t="str">
        <f>_xlfn.IFNA(+VLOOKUP(G323,Agrupacion!A:B,2,0),"")</f>
        <v>AGRUPADOR 2</v>
      </c>
      <c r="I323" t="str">
        <f>_xlfn.IFNA(+VLOOKUP(G323,Agrupacion!A:C,3,0),"")</f>
        <v>CABA SUR</v>
      </c>
      <c r="K323" t="s">
        <v>717</v>
      </c>
      <c r="M323" t="s">
        <v>8</v>
      </c>
    </row>
    <row r="324" spans="1:13" x14ac:dyDescent="0.2">
      <c r="A324">
        <v>334</v>
      </c>
      <c r="B324" t="s">
        <v>2305</v>
      </c>
      <c r="C324">
        <v>1</v>
      </c>
      <c r="D324" t="s">
        <v>718</v>
      </c>
      <c r="E324" t="s">
        <v>10</v>
      </c>
      <c r="F324" t="s">
        <v>719</v>
      </c>
      <c r="G324" t="s">
        <v>396</v>
      </c>
      <c r="H324" t="str">
        <f>_xlfn.IFNA(+VLOOKUP(G324,Agrupacion!A:B,2,0),"")</f>
        <v>AGRUPADOR 3</v>
      </c>
      <c r="I324" t="str">
        <f>_xlfn.IFNA(+VLOOKUP(G324,Agrupacion!A:C,3,0),"")</f>
        <v>CABA SUR II</v>
      </c>
      <c r="J324" t="s">
        <v>15</v>
      </c>
      <c r="K324" t="s">
        <v>720</v>
      </c>
      <c r="M324" t="s">
        <v>8</v>
      </c>
    </row>
    <row r="325" spans="1:13" x14ac:dyDescent="0.2">
      <c r="A325">
        <v>335</v>
      </c>
      <c r="B325" t="s">
        <v>2306</v>
      </c>
      <c r="C325">
        <v>1</v>
      </c>
      <c r="D325" t="s">
        <v>721</v>
      </c>
      <c r="E325" t="s">
        <v>96</v>
      </c>
      <c r="F325" t="s">
        <v>722</v>
      </c>
      <c r="G325" t="s">
        <v>723</v>
      </c>
      <c r="H325" t="str">
        <f>_xlfn.IFNA(+VLOOKUP(G325,Agrupacion!A:B,2,0),"")</f>
        <v>AGRUPADOR 8</v>
      </c>
      <c r="I325" t="str">
        <f>_xlfn.IFNA(+VLOOKUP(G325,Agrupacion!A:C,3,0),"")</f>
        <v>GBA NORTE</v>
      </c>
      <c r="J325" t="s">
        <v>724</v>
      </c>
      <c r="K325" t="s">
        <v>725</v>
      </c>
      <c r="M325" t="s">
        <v>8</v>
      </c>
    </row>
    <row r="326" spans="1:13" x14ac:dyDescent="0.2">
      <c r="A326">
        <v>336</v>
      </c>
      <c r="B326" t="s">
        <v>2307</v>
      </c>
      <c r="C326">
        <v>1</v>
      </c>
      <c r="D326" t="s">
        <v>726</v>
      </c>
      <c r="F326" t="s">
        <v>727</v>
      </c>
      <c r="G326" t="s">
        <v>396</v>
      </c>
      <c r="H326" t="str">
        <f>_xlfn.IFNA(+VLOOKUP(G326,Agrupacion!A:B,2,0),"")</f>
        <v>AGRUPADOR 3</v>
      </c>
      <c r="I326" t="str">
        <f>_xlfn.IFNA(+VLOOKUP(G326,Agrupacion!A:C,3,0),"")</f>
        <v>CABA SUR II</v>
      </c>
      <c r="J326" t="s">
        <v>15</v>
      </c>
      <c r="K326" t="s">
        <v>728</v>
      </c>
      <c r="M326" t="s">
        <v>8</v>
      </c>
    </row>
    <row r="327" spans="1:13" x14ac:dyDescent="0.2">
      <c r="A327">
        <v>337</v>
      </c>
      <c r="B327" t="s">
        <v>2308</v>
      </c>
      <c r="C327">
        <v>1</v>
      </c>
      <c r="D327" t="s">
        <v>729</v>
      </c>
      <c r="E327" t="s">
        <v>10</v>
      </c>
      <c r="F327" t="s">
        <v>730</v>
      </c>
      <c r="G327" t="s">
        <v>396</v>
      </c>
      <c r="H327" t="str">
        <f>_xlfn.IFNA(+VLOOKUP(G327,Agrupacion!A:B,2,0),"")</f>
        <v>AGRUPADOR 3</v>
      </c>
      <c r="I327" t="str">
        <f>_xlfn.IFNA(+VLOOKUP(G327,Agrupacion!A:C,3,0),"")</f>
        <v>CABA SUR II</v>
      </c>
      <c r="J327" t="s">
        <v>15</v>
      </c>
      <c r="K327" t="s">
        <v>731</v>
      </c>
      <c r="M327" t="s">
        <v>8</v>
      </c>
    </row>
    <row r="328" spans="1:13" x14ac:dyDescent="0.2">
      <c r="A328">
        <v>338</v>
      </c>
      <c r="B328" t="s">
        <v>2309</v>
      </c>
      <c r="C328">
        <v>1</v>
      </c>
      <c r="D328" t="s">
        <v>732</v>
      </c>
      <c r="E328" t="s">
        <v>10</v>
      </c>
      <c r="F328" t="s">
        <v>733</v>
      </c>
      <c r="G328" t="s">
        <v>201</v>
      </c>
      <c r="H328" t="str">
        <f>_xlfn.IFNA(+VLOOKUP(G328,Agrupacion!A:B,2,0),"")</f>
        <v>AGRUPADOR 2</v>
      </c>
      <c r="I328" t="str">
        <f>_xlfn.IFNA(+VLOOKUP(G328,Agrupacion!A:C,3,0),"")</f>
        <v>CABA SUR</v>
      </c>
      <c r="K328" t="s">
        <v>734</v>
      </c>
      <c r="M328" t="s">
        <v>8</v>
      </c>
    </row>
    <row r="329" spans="1:13" x14ac:dyDescent="0.2">
      <c r="A329">
        <v>339</v>
      </c>
      <c r="B329" t="s">
        <v>2310</v>
      </c>
      <c r="C329">
        <v>1</v>
      </c>
      <c r="D329" t="s">
        <v>735</v>
      </c>
      <c r="E329" t="s">
        <v>10</v>
      </c>
      <c r="F329" t="s">
        <v>736</v>
      </c>
      <c r="G329" t="s">
        <v>201</v>
      </c>
      <c r="H329" t="str">
        <f>_xlfn.IFNA(+VLOOKUP(G329,Agrupacion!A:B,2,0),"")</f>
        <v>AGRUPADOR 2</v>
      </c>
      <c r="I329" t="str">
        <f>_xlfn.IFNA(+VLOOKUP(G329,Agrupacion!A:C,3,0),"")</f>
        <v>CABA SUR</v>
      </c>
      <c r="K329" t="s">
        <v>737</v>
      </c>
      <c r="M329" t="s">
        <v>8</v>
      </c>
    </row>
    <row r="330" spans="1:13" x14ac:dyDescent="0.2">
      <c r="A330">
        <v>341</v>
      </c>
      <c r="B330" t="s">
        <v>2311</v>
      </c>
      <c r="C330">
        <v>1</v>
      </c>
      <c r="D330" t="s">
        <v>740</v>
      </c>
      <c r="E330" t="s">
        <v>10</v>
      </c>
      <c r="F330" t="s">
        <v>741</v>
      </c>
      <c r="G330" t="s">
        <v>396</v>
      </c>
      <c r="H330" t="str">
        <f>_xlfn.IFNA(+VLOOKUP(G330,Agrupacion!A:B,2,0),"")</f>
        <v>AGRUPADOR 3</v>
      </c>
      <c r="I330" t="str">
        <f>_xlfn.IFNA(+VLOOKUP(G330,Agrupacion!A:C,3,0),"")</f>
        <v>CABA SUR II</v>
      </c>
      <c r="J330" t="s">
        <v>15</v>
      </c>
      <c r="K330" t="s">
        <v>742</v>
      </c>
      <c r="L330" t="s">
        <v>743</v>
      </c>
      <c r="M330" t="s">
        <v>8</v>
      </c>
    </row>
    <row r="331" spans="1:13" x14ac:dyDescent="0.2">
      <c r="A331">
        <v>342</v>
      </c>
      <c r="B331" t="s">
        <v>2312</v>
      </c>
      <c r="C331">
        <v>1</v>
      </c>
      <c r="D331" t="s">
        <v>744</v>
      </c>
      <c r="F331" t="s">
        <v>745</v>
      </c>
      <c r="G331" t="s">
        <v>249</v>
      </c>
      <c r="H331" t="str">
        <f>_xlfn.IFNA(+VLOOKUP(G331,Agrupacion!A:B,2,0),"")</f>
        <v>AGRUPADOR 2</v>
      </c>
      <c r="I331" t="str">
        <f>_xlfn.IFNA(+VLOOKUP(G331,Agrupacion!A:C,3,0),"")</f>
        <v>CABA SUR</v>
      </c>
      <c r="K331" t="s">
        <v>659</v>
      </c>
      <c r="M331" t="s">
        <v>8</v>
      </c>
    </row>
    <row r="332" spans="1:13" x14ac:dyDescent="0.2">
      <c r="A332">
        <v>343</v>
      </c>
      <c r="B332" t="s">
        <v>2313</v>
      </c>
      <c r="C332">
        <v>1</v>
      </c>
      <c r="D332" t="s">
        <v>746</v>
      </c>
      <c r="E332" t="s">
        <v>96</v>
      </c>
      <c r="F332" t="s">
        <v>747</v>
      </c>
      <c r="G332" t="s">
        <v>748</v>
      </c>
      <c r="H332" t="str">
        <f>_xlfn.IFNA(+VLOOKUP(G332,Agrupacion!A:B,2,0),"")</f>
        <v>AGRUPADOR 6</v>
      </c>
      <c r="I332" t="str">
        <f>_xlfn.IFNA(+VLOOKUP(G332,Agrupacion!A:C,3,0),"")</f>
        <v>GBA OESTE</v>
      </c>
      <c r="K332" t="s">
        <v>749</v>
      </c>
      <c r="L332" t="s">
        <v>750</v>
      </c>
      <c r="M332" t="s">
        <v>8</v>
      </c>
    </row>
    <row r="333" spans="1:13" x14ac:dyDescent="0.2">
      <c r="A333">
        <v>344</v>
      </c>
      <c r="B333" t="s">
        <v>2314</v>
      </c>
      <c r="C333">
        <v>1</v>
      </c>
      <c r="D333" t="s">
        <v>751</v>
      </c>
      <c r="E333" t="s">
        <v>10</v>
      </c>
      <c r="F333" t="s">
        <v>752</v>
      </c>
      <c r="G333" t="s">
        <v>2699</v>
      </c>
      <c r="H333" t="str">
        <f>_xlfn.IFNA(+VLOOKUP(G333,Agrupacion!A:B,2,0),"")</f>
        <v>AGRUPADOR 2</v>
      </c>
      <c r="I333" t="str">
        <f>_xlfn.IFNA(+VLOOKUP(G333,Agrupacion!A:C,3,0),"")</f>
        <v>CABA SUR</v>
      </c>
      <c r="J333" t="s">
        <v>753</v>
      </c>
      <c r="K333" t="s">
        <v>754</v>
      </c>
      <c r="M333" t="s">
        <v>8</v>
      </c>
    </row>
    <row r="334" spans="1:13" x14ac:dyDescent="0.2">
      <c r="A334">
        <v>345</v>
      </c>
      <c r="B334" t="s">
        <v>2315</v>
      </c>
      <c r="C334">
        <v>1</v>
      </c>
      <c r="D334" t="s">
        <v>755</v>
      </c>
      <c r="E334" t="s">
        <v>10</v>
      </c>
      <c r="F334" t="s">
        <v>446</v>
      </c>
      <c r="G334" t="s">
        <v>201</v>
      </c>
      <c r="H334" t="str">
        <f>_xlfn.IFNA(+VLOOKUP(G334,Agrupacion!A:B,2,0),"")</f>
        <v>AGRUPADOR 2</v>
      </c>
      <c r="I334" t="str">
        <f>_xlfn.IFNA(+VLOOKUP(G334,Agrupacion!A:C,3,0),"")</f>
        <v>CABA SUR</v>
      </c>
      <c r="J334" t="s">
        <v>756</v>
      </c>
      <c r="K334" t="s">
        <v>757</v>
      </c>
      <c r="M334" t="s">
        <v>8</v>
      </c>
    </row>
    <row r="335" spans="1:13" x14ac:dyDescent="0.2">
      <c r="A335">
        <v>346</v>
      </c>
      <c r="B335" t="s">
        <v>2316</v>
      </c>
      <c r="C335">
        <v>1</v>
      </c>
      <c r="D335" t="s">
        <v>758</v>
      </c>
      <c r="E335" t="s">
        <v>10</v>
      </c>
      <c r="F335" t="s">
        <v>759</v>
      </c>
      <c r="G335" t="s">
        <v>170</v>
      </c>
      <c r="H335" t="str">
        <f>_xlfn.IFNA(+VLOOKUP(G335,Agrupacion!A:B,2,0),"")</f>
        <v>AGRUPADOR 2</v>
      </c>
      <c r="I335" t="str">
        <f>_xlfn.IFNA(+VLOOKUP(G335,Agrupacion!A:C,3,0),"")</f>
        <v>CABA SUR</v>
      </c>
      <c r="J335" t="s">
        <v>115</v>
      </c>
      <c r="K335" t="s">
        <v>760</v>
      </c>
      <c r="M335" t="s">
        <v>8</v>
      </c>
    </row>
    <row r="336" spans="1:13" x14ac:dyDescent="0.2">
      <c r="A336">
        <v>347</v>
      </c>
      <c r="B336" t="s">
        <v>2317</v>
      </c>
      <c r="C336">
        <v>1</v>
      </c>
      <c r="D336" t="s">
        <v>761</v>
      </c>
      <c r="E336" t="s">
        <v>10</v>
      </c>
      <c r="F336" t="s">
        <v>762</v>
      </c>
      <c r="G336" t="s">
        <v>48</v>
      </c>
      <c r="H336" t="str">
        <f>_xlfn.IFNA(+VLOOKUP(G336,Agrupacion!A:B,2,0),"")</f>
        <v>AGRUPADOR 2</v>
      </c>
      <c r="I336" t="str">
        <f>_xlfn.IFNA(+VLOOKUP(G336,Agrupacion!A:C,3,0),"")</f>
        <v>CABA SUR</v>
      </c>
      <c r="J336" t="s">
        <v>15</v>
      </c>
      <c r="K336" t="s">
        <v>763</v>
      </c>
      <c r="M336" t="s">
        <v>8</v>
      </c>
    </row>
    <row r="337" spans="1:13" x14ac:dyDescent="0.2">
      <c r="A337">
        <v>349</v>
      </c>
      <c r="B337" t="s">
        <v>2318</v>
      </c>
      <c r="C337">
        <v>1</v>
      </c>
      <c r="D337" t="s">
        <v>764</v>
      </c>
      <c r="E337" t="s">
        <v>10</v>
      </c>
      <c r="F337" t="s">
        <v>765</v>
      </c>
      <c r="G337" t="s">
        <v>170</v>
      </c>
      <c r="H337" t="str">
        <f>_xlfn.IFNA(+VLOOKUP(G337,Agrupacion!A:B,2,0),"")</f>
        <v>AGRUPADOR 2</v>
      </c>
      <c r="I337" t="str">
        <f>_xlfn.IFNA(+VLOOKUP(G337,Agrupacion!A:C,3,0),"")</f>
        <v>CABA SUR</v>
      </c>
      <c r="K337" t="s">
        <v>766</v>
      </c>
      <c r="M337" t="s">
        <v>8</v>
      </c>
    </row>
    <row r="338" spans="1:13" x14ac:dyDescent="0.2">
      <c r="A338">
        <v>350</v>
      </c>
      <c r="B338" t="s">
        <v>2319</v>
      </c>
      <c r="C338">
        <v>1</v>
      </c>
      <c r="D338" t="s">
        <v>770</v>
      </c>
      <c r="E338" t="s">
        <v>10</v>
      </c>
      <c r="F338" t="s">
        <v>254</v>
      </c>
      <c r="G338" t="s">
        <v>396</v>
      </c>
      <c r="H338" t="str">
        <f>_xlfn.IFNA(+VLOOKUP(G338,Agrupacion!A:B,2,0),"")</f>
        <v>AGRUPADOR 3</v>
      </c>
      <c r="I338" t="str">
        <f>_xlfn.IFNA(+VLOOKUP(G338,Agrupacion!A:C,3,0),"")</f>
        <v>CABA SUR II</v>
      </c>
      <c r="K338" t="s">
        <v>771</v>
      </c>
      <c r="M338" t="s">
        <v>8</v>
      </c>
    </row>
    <row r="339" spans="1:13" x14ac:dyDescent="0.2">
      <c r="A339">
        <v>351</v>
      </c>
      <c r="B339" t="s">
        <v>2320</v>
      </c>
      <c r="C339">
        <v>1</v>
      </c>
      <c r="D339" t="s">
        <v>772</v>
      </c>
      <c r="E339" t="s">
        <v>10</v>
      </c>
      <c r="F339" t="s">
        <v>773</v>
      </c>
      <c r="G339" t="s">
        <v>249</v>
      </c>
      <c r="H339" t="str">
        <f>_xlfn.IFNA(+VLOOKUP(G339,Agrupacion!A:B,2,0),"")</f>
        <v>AGRUPADOR 2</v>
      </c>
      <c r="I339" t="str">
        <f>_xlfn.IFNA(+VLOOKUP(G339,Agrupacion!A:C,3,0),"")</f>
        <v>CABA SUR</v>
      </c>
      <c r="J339" t="s">
        <v>15</v>
      </c>
      <c r="K339" t="s">
        <v>42</v>
      </c>
      <c r="M339" t="s">
        <v>8</v>
      </c>
    </row>
    <row r="340" spans="1:13" x14ac:dyDescent="0.2">
      <c r="A340">
        <v>352</v>
      </c>
      <c r="B340" t="s">
        <v>2321</v>
      </c>
      <c r="C340">
        <v>1</v>
      </c>
      <c r="D340" t="s">
        <v>774</v>
      </c>
      <c r="E340" t="s">
        <v>10</v>
      </c>
      <c r="F340" t="s">
        <v>775</v>
      </c>
      <c r="G340" t="s">
        <v>396</v>
      </c>
      <c r="H340" t="str">
        <f>_xlfn.IFNA(+VLOOKUP(G340,Agrupacion!A:B,2,0),"")</f>
        <v>AGRUPADOR 3</v>
      </c>
      <c r="I340" t="str">
        <f>_xlfn.IFNA(+VLOOKUP(G340,Agrupacion!A:C,3,0),"")</f>
        <v>CABA SUR II</v>
      </c>
      <c r="J340" t="s">
        <v>15</v>
      </c>
      <c r="K340" t="s">
        <v>776</v>
      </c>
      <c r="L340" t="s">
        <v>777</v>
      </c>
      <c r="M340" t="s">
        <v>8</v>
      </c>
    </row>
    <row r="341" spans="1:13" x14ac:dyDescent="0.2">
      <c r="A341">
        <v>353</v>
      </c>
      <c r="B341" t="s">
        <v>2322</v>
      </c>
      <c r="C341">
        <v>1</v>
      </c>
      <c r="D341" t="s">
        <v>778</v>
      </c>
      <c r="E341" t="s">
        <v>10</v>
      </c>
      <c r="F341" t="s">
        <v>585</v>
      </c>
      <c r="G341" t="s">
        <v>48</v>
      </c>
      <c r="H341" t="str">
        <f>_xlfn.IFNA(+VLOOKUP(G341,Agrupacion!A:B,2,0),"")</f>
        <v>AGRUPADOR 2</v>
      </c>
      <c r="I341" t="str">
        <f>_xlfn.IFNA(+VLOOKUP(G341,Agrupacion!A:C,3,0),"")</f>
        <v>CABA SUR</v>
      </c>
      <c r="J341" t="s">
        <v>15</v>
      </c>
      <c r="K341" t="s">
        <v>779</v>
      </c>
      <c r="M341" t="s">
        <v>8</v>
      </c>
    </row>
    <row r="342" spans="1:13" x14ac:dyDescent="0.2">
      <c r="A342">
        <v>354</v>
      </c>
      <c r="B342" t="s">
        <v>2323</v>
      </c>
      <c r="C342">
        <v>1</v>
      </c>
      <c r="D342" t="s">
        <v>780</v>
      </c>
      <c r="E342" t="s">
        <v>96</v>
      </c>
      <c r="F342" t="s">
        <v>781</v>
      </c>
      <c r="G342" t="s">
        <v>155</v>
      </c>
      <c r="H342" t="str">
        <f>_xlfn.IFNA(+VLOOKUP(G342,Agrupacion!A:B,2,0),"")</f>
        <v>AGRUPADOR 4</v>
      </c>
      <c r="I342" t="str">
        <f>_xlfn.IFNA(+VLOOKUP(G342,Agrupacion!A:C,3,0),"")</f>
        <v>GBA SUR</v>
      </c>
      <c r="K342" t="s">
        <v>782</v>
      </c>
      <c r="L342" t="s">
        <v>783</v>
      </c>
      <c r="M342" t="s">
        <v>8</v>
      </c>
    </row>
    <row r="343" spans="1:13" x14ac:dyDescent="0.2">
      <c r="A343">
        <v>355</v>
      </c>
      <c r="B343" t="s">
        <v>2324</v>
      </c>
      <c r="C343">
        <v>1</v>
      </c>
      <c r="D343" t="s">
        <v>784</v>
      </c>
      <c r="E343" t="s">
        <v>10</v>
      </c>
      <c r="F343" t="s">
        <v>785</v>
      </c>
      <c r="G343" t="s">
        <v>396</v>
      </c>
      <c r="H343" t="str">
        <f>_xlfn.IFNA(+VLOOKUP(G343,Agrupacion!A:B,2,0),"")</f>
        <v>AGRUPADOR 3</v>
      </c>
      <c r="I343" t="str">
        <f>_xlfn.IFNA(+VLOOKUP(G343,Agrupacion!A:C,3,0),"")</f>
        <v>CABA SUR II</v>
      </c>
      <c r="K343" t="s">
        <v>786</v>
      </c>
      <c r="M343" t="s">
        <v>8</v>
      </c>
    </row>
    <row r="344" spans="1:13" x14ac:dyDescent="0.2">
      <c r="A344">
        <v>356</v>
      </c>
      <c r="B344" t="s">
        <v>2325</v>
      </c>
      <c r="C344">
        <v>1</v>
      </c>
      <c r="D344" t="s">
        <v>787</v>
      </c>
      <c r="E344" t="s">
        <v>10</v>
      </c>
      <c r="F344" t="s">
        <v>788</v>
      </c>
      <c r="G344" t="s">
        <v>2697</v>
      </c>
      <c r="H344" t="str">
        <f>_xlfn.IFNA(+VLOOKUP(G344,Agrupacion!A:B,2,0),"")</f>
        <v>AGRUPADOR 3</v>
      </c>
      <c r="I344" t="str">
        <f>_xlfn.IFNA(+VLOOKUP(G344,Agrupacion!A:C,3,0),"")</f>
        <v>CABA SUR II</v>
      </c>
      <c r="J344" t="s">
        <v>195</v>
      </c>
      <c r="K344" t="s">
        <v>789</v>
      </c>
      <c r="L344" t="s">
        <v>790</v>
      </c>
      <c r="M344" t="s">
        <v>8</v>
      </c>
    </row>
    <row r="345" spans="1:13" x14ac:dyDescent="0.2">
      <c r="A345">
        <v>357</v>
      </c>
      <c r="B345" t="s">
        <v>2326</v>
      </c>
      <c r="C345">
        <v>1</v>
      </c>
      <c r="D345" t="s">
        <v>791</v>
      </c>
      <c r="E345" t="s">
        <v>10</v>
      </c>
      <c r="F345" t="s">
        <v>792</v>
      </c>
      <c r="G345" t="s">
        <v>2697</v>
      </c>
      <c r="H345" t="str">
        <f>_xlfn.IFNA(+VLOOKUP(G345,Agrupacion!A:B,2,0),"")</f>
        <v>AGRUPADOR 3</v>
      </c>
      <c r="I345" t="str">
        <f>_xlfn.IFNA(+VLOOKUP(G345,Agrupacion!A:C,3,0),"")</f>
        <v>CABA SUR II</v>
      </c>
      <c r="K345" t="s">
        <v>793</v>
      </c>
      <c r="M345" t="s">
        <v>8</v>
      </c>
    </row>
    <row r="346" spans="1:13" x14ac:dyDescent="0.2">
      <c r="A346">
        <v>358</v>
      </c>
      <c r="B346" t="s">
        <v>2327</v>
      </c>
      <c r="C346">
        <v>1</v>
      </c>
      <c r="D346" t="s">
        <v>794</v>
      </c>
      <c r="F346" t="s">
        <v>795</v>
      </c>
      <c r="G346" t="s">
        <v>249</v>
      </c>
      <c r="H346" t="str">
        <f>_xlfn.IFNA(+VLOOKUP(G346,Agrupacion!A:B,2,0),"")</f>
        <v>AGRUPADOR 2</v>
      </c>
      <c r="I346" t="str">
        <f>_xlfn.IFNA(+VLOOKUP(G346,Agrupacion!A:C,3,0),"")</f>
        <v>CABA SUR</v>
      </c>
      <c r="J346" t="s">
        <v>15</v>
      </c>
      <c r="K346" t="s">
        <v>796</v>
      </c>
      <c r="M346" t="s">
        <v>8</v>
      </c>
    </row>
    <row r="347" spans="1:13" x14ac:dyDescent="0.2">
      <c r="A347">
        <v>359</v>
      </c>
      <c r="B347" t="s">
        <v>2687</v>
      </c>
      <c r="C347" s="2">
        <v>1</v>
      </c>
      <c r="D347" t="s">
        <v>2684</v>
      </c>
      <c r="E347" t="s">
        <v>10</v>
      </c>
      <c r="F347" t="s">
        <v>2685</v>
      </c>
      <c r="G347" t="s">
        <v>2686</v>
      </c>
      <c r="H347" t="str">
        <f>_xlfn.IFNA(+VLOOKUP(G347,Agrupacion!A:B,2,0),"")</f>
        <v>RETIRA</v>
      </c>
      <c r="I347" t="s">
        <v>2686</v>
      </c>
      <c r="M347" t="s">
        <v>8</v>
      </c>
    </row>
    <row r="348" spans="1:13" x14ac:dyDescent="0.2">
      <c r="A348">
        <v>360</v>
      </c>
      <c r="B348" t="s">
        <v>2328</v>
      </c>
      <c r="C348">
        <v>1</v>
      </c>
      <c r="D348" t="s">
        <v>800</v>
      </c>
      <c r="E348" t="s">
        <v>10</v>
      </c>
      <c r="F348" t="s">
        <v>801</v>
      </c>
      <c r="G348" t="s">
        <v>842</v>
      </c>
      <c r="H348" t="str">
        <f>_xlfn.IFNA(+VLOOKUP(G348,Agrupacion!A:B,2,0),"")</f>
        <v>AGRUPADOR 1</v>
      </c>
      <c r="I348" t="str">
        <f>_xlfn.IFNA(+VLOOKUP(G348,Agrupacion!A:C,3,0),"")</f>
        <v>CABA NORTE</v>
      </c>
      <c r="J348" t="s">
        <v>802</v>
      </c>
      <c r="K348" t="s">
        <v>803</v>
      </c>
      <c r="M348" t="s">
        <v>8</v>
      </c>
    </row>
    <row r="349" spans="1:13" x14ac:dyDescent="0.2">
      <c r="A349">
        <v>361</v>
      </c>
      <c r="B349" t="s">
        <v>2690</v>
      </c>
      <c r="C349" s="2">
        <v>1</v>
      </c>
      <c r="D349" t="s">
        <v>2684</v>
      </c>
      <c r="E349" t="s">
        <v>10</v>
      </c>
      <c r="F349" t="s">
        <v>2685</v>
      </c>
      <c r="G349" t="s">
        <v>2686</v>
      </c>
      <c r="H349" t="str">
        <f>_xlfn.IFNA(+VLOOKUP(G349,Agrupacion!A:B,2,0),"")</f>
        <v>RETIRA</v>
      </c>
      <c r="I349" t="s">
        <v>2686</v>
      </c>
      <c r="M349" t="s">
        <v>8</v>
      </c>
    </row>
    <row r="350" spans="1:13" x14ac:dyDescent="0.2">
      <c r="A350">
        <v>362</v>
      </c>
      <c r="B350" t="s">
        <v>2329</v>
      </c>
      <c r="C350">
        <v>1</v>
      </c>
      <c r="D350" t="s">
        <v>804</v>
      </c>
      <c r="E350" t="s">
        <v>10</v>
      </c>
      <c r="F350" t="s">
        <v>805</v>
      </c>
      <c r="G350" t="s">
        <v>48</v>
      </c>
      <c r="H350" t="str">
        <f>_xlfn.IFNA(+VLOOKUP(G350,Agrupacion!A:B,2,0),"")</f>
        <v>AGRUPADOR 2</v>
      </c>
      <c r="I350" t="str">
        <f>_xlfn.IFNA(+VLOOKUP(G350,Agrupacion!A:C,3,0),"")</f>
        <v>CABA SUR</v>
      </c>
      <c r="J350" t="s">
        <v>15</v>
      </c>
      <c r="K350" t="s">
        <v>806</v>
      </c>
      <c r="M350" t="s">
        <v>8</v>
      </c>
    </row>
    <row r="351" spans="1:13" x14ac:dyDescent="0.2">
      <c r="A351">
        <v>363</v>
      </c>
      <c r="B351" t="s">
        <v>2330</v>
      </c>
      <c r="C351">
        <v>1</v>
      </c>
      <c r="D351" t="s">
        <v>807</v>
      </c>
      <c r="E351" t="s">
        <v>96</v>
      </c>
      <c r="F351" t="s">
        <v>808</v>
      </c>
      <c r="G351" t="s">
        <v>809</v>
      </c>
      <c r="H351" t="str">
        <f>_xlfn.IFNA(+VLOOKUP(G351,Agrupacion!A:B,2,0),"")</f>
        <v>AGRUPADOR 7</v>
      </c>
      <c r="I351" t="str">
        <f>_xlfn.IFNA(+VLOOKUP(G351,Agrupacion!A:C,3,0),"")</f>
        <v>GBA OESTE II</v>
      </c>
      <c r="K351" t="s">
        <v>810</v>
      </c>
      <c r="M351" t="s">
        <v>8</v>
      </c>
    </row>
    <row r="352" spans="1:13" x14ac:dyDescent="0.2">
      <c r="A352">
        <v>364</v>
      </c>
      <c r="B352" t="s">
        <v>2331</v>
      </c>
      <c r="C352">
        <v>1</v>
      </c>
      <c r="D352" t="s">
        <v>811</v>
      </c>
      <c r="E352" t="s">
        <v>10</v>
      </c>
      <c r="F352" t="s">
        <v>812</v>
      </c>
      <c r="G352" t="s">
        <v>396</v>
      </c>
      <c r="H352" t="str">
        <f>_xlfn.IFNA(+VLOOKUP(G352,Agrupacion!A:B,2,0),"")</f>
        <v>AGRUPADOR 3</v>
      </c>
      <c r="I352" t="str">
        <f>_xlfn.IFNA(+VLOOKUP(G352,Agrupacion!A:C,3,0),"")</f>
        <v>CABA SUR II</v>
      </c>
      <c r="M352" t="s">
        <v>8</v>
      </c>
    </row>
    <row r="353" spans="1:13" x14ac:dyDescent="0.2">
      <c r="A353">
        <v>365</v>
      </c>
      <c r="B353" t="s">
        <v>2332</v>
      </c>
      <c r="C353">
        <v>1</v>
      </c>
      <c r="D353" t="s">
        <v>813</v>
      </c>
      <c r="E353" t="s">
        <v>10</v>
      </c>
      <c r="F353" t="s">
        <v>814</v>
      </c>
      <c r="G353" t="s">
        <v>396</v>
      </c>
      <c r="H353" t="str">
        <f>_xlfn.IFNA(+VLOOKUP(G353,Agrupacion!A:B,2,0),"")</f>
        <v>AGRUPADOR 3</v>
      </c>
      <c r="I353" t="str">
        <f>_xlfn.IFNA(+VLOOKUP(G353,Agrupacion!A:C,3,0),"")</f>
        <v>CABA SUR II</v>
      </c>
      <c r="K353" t="s">
        <v>815</v>
      </c>
      <c r="M353" t="s">
        <v>8</v>
      </c>
    </row>
    <row r="354" spans="1:13" x14ac:dyDescent="0.2">
      <c r="A354">
        <v>366</v>
      </c>
      <c r="B354" t="s">
        <v>2333</v>
      </c>
      <c r="C354">
        <v>1</v>
      </c>
      <c r="D354" t="s">
        <v>816</v>
      </c>
      <c r="E354" t="s">
        <v>10</v>
      </c>
      <c r="F354" t="s">
        <v>817</v>
      </c>
      <c r="G354" t="s">
        <v>201</v>
      </c>
      <c r="H354" t="str">
        <f>_xlfn.IFNA(+VLOOKUP(G354,Agrupacion!A:B,2,0),"")</f>
        <v>AGRUPADOR 2</v>
      </c>
      <c r="I354" t="str">
        <f>_xlfn.IFNA(+VLOOKUP(G354,Agrupacion!A:C,3,0),"")</f>
        <v>CABA SUR</v>
      </c>
      <c r="K354" t="s">
        <v>818</v>
      </c>
      <c r="M354" t="s">
        <v>8</v>
      </c>
    </row>
    <row r="355" spans="1:13" x14ac:dyDescent="0.2">
      <c r="A355">
        <v>367</v>
      </c>
      <c r="B355" t="s">
        <v>2155</v>
      </c>
      <c r="C355">
        <v>1</v>
      </c>
      <c r="D355" t="s">
        <v>819</v>
      </c>
      <c r="E355" t="s">
        <v>10</v>
      </c>
      <c r="F355" t="s">
        <v>820</v>
      </c>
      <c r="G355" t="s">
        <v>396</v>
      </c>
      <c r="H355" t="str">
        <f>_xlfn.IFNA(+VLOOKUP(G355,Agrupacion!A:B,2,0),"")</f>
        <v>AGRUPADOR 3</v>
      </c>
      <c r="I355" t="str">
        <f>_xlfn.IFNA(+VLOOKUP(G355,Agrupacion!A:C,3,0),"")</f>
        <v>CABA SUR II</v>
      </c>
      <c r="K355" t="s">
        <v>821</v>
      </c>
      <c r="M355" t="s">
        <v>8</v>
      </c>
    </row>
    <row r="356" spans="1:13" x14ac:dyDescent="0.2">
      <c r="A356">
        <v>368</v>
      </c>
      <c r="B356" t="s">
        <v>2156</v>
      </c>
      <c r="C356">
        <v>1</v>
      </c>
      <c r="D356" t="s">
        <v>822</v>
      </c>
      <c r="E356" t="s">
        <v>10</v>
      </c>
      <c r="F356" t="s">
        <v>683</v>
      </c>
      <c r="G356" t="s">
        <v>396</v>
      </c>
      <c r="H356" t="str">
        <f>_xlfn.IFNA(+VLOOKUP(G356,Agrupacion!A:B,2,0),"")</f>
        <v>AGRUPADOR 3</v>
      </c>
      <c r="I356" t="str">
        <f>_xlfn.IFNA(+VLOOKUP(G356,Agrupacion!A:C,3,0),"")</f>
        <v>CABA SUR II</v>
      </c>
      <c r="J356" t="s">
        <v>15</v>
      </c>
      <c r="K356" t="s">
        <v>823</v>
      </c>
      <c r="M356" t="s">
        <v>8</v>
      </c>
    </row>
    <row r="357" spans="1:13" x14ac:dyDescent="0.2">
      <c r="A357">
        <v>369</v>
      </c>
      <c r="B357" t="s">
        <v>2157</v>
      </c>
      <c r="C357">
        <v>1</v>
      </c>
      <c r="D357" t="s">
        <v>824</v>
      </c>
      <c r="E357" t="s">
        <v>10</v>
      </c>
      <c r="F357" t="s">
        <v>825</v>
      </c>
      <c r="G357" t="s">
        <v>108</v>
      </c>
      <c r="H357" t="str">
        <f>_xlfn.IFNA(+VLOOKUP(G357,Agrupacion!A:B,2,0),"")</f>
        <v>AGRUPADOR 1</v>
      </c>
      <c r="I357" t="str">
        <f>_xlfn.IFNA(+VLOOKUP(G357,Agrupacion!A:C,3,0),"")</f>
        <v>CABA NORTE</v>
      </c>
      <c r="K357" t="s">
        <v>826</v>
      </c>
      <c r="M357" t="s">
        <v>8</v>
      </c>
    </row>
    <row r="358" spans="1:13" x14ac:dyDescent="0.2">
      <c r="A358">
        <v>370</v>
      </c>
      <c r="B358" t="s">
        <v>2158</v>
      </c>
      <c r="C358">
        <v>1</v>
      </c>
      <c r="D358" t="s">
        <v>829</v>
      </c>
      <c r="F358" t="s">
        <v>830</v>
      </c>
      <c r="G358" t="s">
        <v>396</v>
      </c>
      <c r="H358" t="str">
        <f>_xlfn.IFNA(+VLOOKUP(G358,Agrupacion!A:B,2,0),"")</f>
        <v>AGRUPADOR 3</v>
      </c>
      <c r="I358" t="str">
        <f>_xlfn.IFNA(+VLOOKUP(G358,Agrupacion!A:C,3,0),"")</f>
        <v>CABA SUR II</v>
      </c>
      <c r="K358" t="s">
        <v>831</v>
      </c>
      <c r="M358" t="s">
        <v>8</v>
      </c>
    </row>
    <row r="359" spans="1:13" x14ac:dyDescent="0.2">
      <c r="A359">
        <v>371</v>
      </c>
      <c r="B359" t="s">
        <v>2159</v>
      </c>
      <c r="C359">
        <v>1</v>
      </c>
      <c r="D359" t="s">
        <v>832</v>
      </c>
      <c r="E359" t="s">
        <v>96</v>
      </c>
      <c r="F359" t="s">
        <v>722</v>
      </c>
      <c r="G359" t="s">
        <v>833</v>
      </c>
      <c r="H359" t="str">
        <f>_xlfn.IFNA(+VLOOKUP(G359,Agrupacion!A:B,2,0),"")</f>
        <v>AGRUPADOR 8</v>
      </c>
      <c r="I359" t="str">
        <f>_xlfn.IFNA(+VLOOKUP(G359,Agrupacion!A:C,3,0),"")</f>
        <v>GBA NORTE</v>
      </c>
      <c r="J359" t="s">
        <v>724</v>
      </c>
      <c r="K359" t="s">
        <v>725</v>
      </c>
      <c r="M359" t="s">
        <v>8</v>
      </c>
    </row>
    <row r="360" spans="1:13" x14ac:dyDescent="0.2">
      <c r="A360">
        <v>372</v>
      </c>
      <c r="B360" t="s">
        <v>2160</v>
      </c>
      <c r="C360">
        <v>1</v>
      </c>
      <c r="D360" t="s">
        <v>784</v>
      </c>
      <c r="E360" t="s">
        <v>10</v>
      </c>
      <c r="F360" t="s">
        <v>785</v>
      </c>
      <c r="G360" t="s">
        <v>396</v>
      </c>
      <c r="H360" t="str">
        <f>_xlfn.IFNA(+VLOOKUP(G360,Agrupacion!A:B,2,0),"")</f>
        <v>AGRUPADOR 3</v>
      </c>
      <c r="I360" t="str">
        <f>_xlfn.IFNA(+VLOOKUP(G360,Agrupacion!A:C,3,0),"")</f>
        <v>CABA SUR II</v>
      </c>
      <c r="J360" t="s">
        <v>282</v>
      </c>
      <c r="M360" t="s">
        <v>8</v>
      </c>
    </row>
    <row r="361" spans="1:13" x14ac:dyDescent="0.2">
      <c r="A361">
        <v>374</v>
      </c>
      <c r="B361" t="s">
        <v>2161</v>
      </c>
      <c r="C361">
        <v>1</v>
      </c>
      <c r="D361" t="s">
        <v>834</v>
      </c>
      <c r="E361" t="s">
        <v>10</v>
      </c>
      <c r="F361" t="s">
        <v>835</v>
      </c>
      <c r="G361" t="s">
        <v>396</v>
      </c>
      <c r="H361" t="str">
        <f>_xlfn.IFNA(+VLOOKUP(G361,Agrupacion!A:B,2,0),"")</f>
        <v>AGRUPADOR 3</v>
      </c>
      <c r="I361" t="str">
        <f>_xlfn.IFNA(+VLOOKUP(G361,Agrupacion!A:C,3,0),"")</f>
        <v>CABA SUR II</v>
      </c>
      <c r="J361" t="s">
        <v>15</v>
      </c>
      <c r="K361" t="s">
        <v>836</v>
      </c>
      <c r="M361" t="s">
        <v>8</v>
      </c>
    </row>
    <row r="362" spans="1:13" x14ac:dyDescent="0.2">
      <c r="A362">
        <v>375</v>
      </c>
      <c r="B362" t="s">
        <v>2162</v>
      </c>
      <c r="C362">
        <v>1</v>
      </c>
      <c r="D362" t="s">
        <v>837</v>
      </c>
      <c r="E362" t="s">
        <v>10</v>
      </c>
      <c r="F362" t="s">
        <v>838</v>
      </c>
      <c r="G362" t="s">
        <v>396</v>
      </c>
      <c r="H362" t="str">
        <f>_xlfn.IFNA(+VLOOKUP(G362,Agrupacion!A:B,2,0),"")</f>
        <v>AGRUPADOR 3</v>
      </c>
      <c r="I362" t="str">
        <f>_xlfn.IFNA(+VLOOKUP(G362,Agrupacion!A:C,3,0),"")</f>
        <v>CABA SUR II</v>
      </c>
      <c r="J362" t="s">
        <v>15</v>
      </c>
      <c r="K362" t="s">
        <v>839</v>
      </c>
      <c r="M362" t="s">
        <v>8</v>
      </c>
    </row>
    <row r="363" spans="1:13" x14ac:dyDescent="0.2">
      <c r="A363">
        <v>376</v>
      </c>
      <c r="B363" t="s">
        <v>2163</v>
      </c>
      <c r="C363">
        <v>1</v>
      </c>
      <c r="D363" t="s">
        <v>840</v>
      </c>
      <c r="F363" t="s">
        <v>841</v>
      </c>
      <c r="G363" t="s">
        <v>842</v>
      </c>
      <c r="H363" t="str">
        <f>_xlfn.IFNA(+VLOOKUP(G363,Agrupacion!A:B,2,0),"")</f>
        <v>AGRUPADOR 1</v>
      </c>
      <c r="I363" t="str">
        <f>_xlfn.IFNA(+VLOOKUP(G363,Agrupacion!A:C,3,0),"")</f>
        <v>CABA NORTE</v>
      </c>
      <c r="K363" t="s">
        <v>843</v>
      </c>
      <c r="M363" t="s">
        <v>8</v>
      </c>
    </row>
    <row r="364" spans="1:13" x14ac:dyDescent="0.2">
      <c r="A364">
        <v>377</v>
      </c>
      <c r="B364" t="s">
        <v>2164</v>
      </c>
      <c r="C364">
        <v>1</v>
      </c>
      <c r="D364" t="s">
        <v>844</v>
      </c>
      <c r="E364" t="s">
        <v>96</v>
      </c>
      <c r="F364" t="s">
        <v>845</v>
      </c>
      <c r="G364" t="s">
        <v>2699</v>
      </c>
      <c r="H364" t="str">
        <f>_xlfn.IFNA(+VLOOKUP(G364,Agrupacion!A:B,2,0),"")</f>
        <v>AGRUPADOR 2</v>
      </c>
      <c r="I364" t="str">
        <f>_xlfn.IFNA(+VLOOKUP(G364,Agrupacion!A:C,3,0),"")</f>
        <v>CABA SUR</v>
      </c>
      <c r="K364" t="s">
        <v>846</v>
      </c>
      <c r="M364" t="s">
        <v>8</v>
      </c>
    </row>
    <row r="365" spans="1:13" x14ac:dyDescent="0.2">
      <c r="A365">
        <v>378</v>
      </c>
      <c r="B365" t="s">
        <v>2165</v>
      </c>
      <c r="C365">
        <v>1</v>
      </c>
      <c r="D365" t="s">
        <v>847</v>
      </c>
      <c r="E365" t="s">
        <v>10</v>
      </c>
      <c r="F365" t="s">
        <v>848</v>
      </c>
      <c r="G365" t="s">
        <v>396</v>
      </c>
      <c r="H365" t="str">
        <f>_xlfn.IFNA(+VLOOKUP(G365,Agrupacion!A:B,2,0),"")</f>
        <v>AGRUPADOR 3</v>
      </c>
      <c r="I365" t="str">
        <f>_xlfn.IFNA(+VLOOKUP(G365,Agrupacion!A:C,3,0),"")</f>
        <v>CABA SUR II</v>
      </c>
      <c r="J365" t="s">
        <v>15</v>
      </c>
      <c r="K365" t="s">
        <v>849</v>
      </c>
      <c r="M365" t="s">
        <v>8</v>
      </c>
    </row>
    <row r="366" spans="1:13" x14ac:dyDescent="0.2">
      <c r="A366">
        <v>379</v>
      </c>
      <c r="B366" t="s">
        <v>2166</v>
      </c>
      <c r="C366">
        <v>1</v>
      </c>
      <c r="D366" t="s">
        <v>850</v>
      </c>
      <c r="E366" t="s">
        <v>10</v>
      </c>
      <c r="F366" t="s">
        <v>851</v>
      </c>
      <c r="G366" t="s">
        <v>201</v>
      </c>
      <c r="H366" t="str">
        <f>_xlfn.IFNA(+VLOOKUP(G366,Agrupacion!A:B,2,0),"")</f>
        <v>AGRUPADOR 2</v>
      </c>
      <c r="I366" t="str">
        <f>_xlfn.IFNA(+VLOOKUP(G366,Agrupacion!A:C,3,0),"")</f>
        <v>CABA SUR</v>
      </c>
      <c r="J366" t="s">
        <v>852</v>
      </c>
      <c r="K366" t="s">
        <v>853</v>
      </c>
      <c r="M366" t="s">
        <v>8</v>
      </c>
    </row>
    <row r="367" spans="1:13" x14ac:dyDescent="0.2">
      <c r="A367">
        <v>380</v>
      </c>
      <c r="B367" t="s">
        <v>2167</v>
      </c>
      <c r="C367">
        <v>1</v>
      </c>
      <c r="D367" t="s">
        <v>857</v>
      </c>
      <c r="E367" t="s">
        <v>10</v>
      </c>
      <c r="F367" t="s">
        <v>858</v>
      </c>
      <c r="G367" t="s">
        <v>396</v>
      </c>
      <c r="H367" t="str">
        <f>_xlfn.IFNA(+VLOOKUP(G367,Agrupacion!A:B,2,0),"")</f>
        <v>AGRUPADOR 3</v>
      </c>
      <c r="I367" t="str">
        <f>_xlfn.IFNA(+VLOOKUP(G367,Agrupacion!A:C,3,0),"")</f>
        <v>CABA SUR II</v>
      </c>
      <c r="K367" t="s">
        <v>859</v>
      </c>
      <c r="M367" t="s">
        <v>8</v>
      </c>
    </row>
    <row r="368" spans="1:13" x14ac:dyDescent="0.2">
      <c r="A368">
        <v>381</v>
      </c>
      <c r="B368" t="s">
        <v>2168</v>
      </c>
      <c r="C368">
        <v>1</v>
      </c>
      <c r="D368" t="s">
        <v>860</v>
      </c>
      <c r="E368" t="s">
        <v>10</v>
      </c>
      <c r="F368" t="s">
        <v>861</v>
      </c>
      <c r="G368" t="s">
        <v>396</v>
      </c>
      <c r="H368" t="str">
        <f>_xlfn.IFNA(+VLOOKUP(G368,Agrupacion!A:B,2,0),"")</f>
        <v>AGRUPADOR 3</v>
      </c>
      <c r="I368" t="str">
        <f>_xlfn.IFNA(+VLOOKUP(G368,Agrupacion!A:C,3,0),"")</f>
        <v>CABA SUR II</v>
      </c>
      <c r="K368" t="s">
        <v>862</v>
      </c>
      <c r="M368" t="s">
        <v>8</v>
      </c>
    </row>
    <row r="369" spans="1:13" x14ac:dyDescent="0.2">
      <c r="A369">
        <v>382</v>
      </c>
      <c r="B369" t="s">
        <v>2169</v>
      </c>
      <c r="C369">
        <v>1</v>
      </c>
      <c r="D369" t="s">
        <v>863</v>
      </c>
      <c r="F369" t="s">
        <v>864</v>
      </c>
      <c r="G369" t="s">
        <v>865</v>
      </c>
      <c r="H369" t="str">
        <f>_xlfn.IFNA(+VLOOKUP(G369,Agrupacion!A:B,2,0),"")</f>
        <v>AGRUPADOR 8</v>
      </c>
      <c r="I369" t="str">
        <f>_xlfn.IFNA(+VLOOKUP(G369,Agrupacion!A:C,3,0),"")</f>
        <v>GBA NORTE</v>
      </c>
      <c r="K369" t="s">
        <v>866</v>
      </c>
      <c r="M369" t="s">
        <v>8</v>
      </c>
    </row>
    <row r="370" spans="1:13" x14ac:dyDescent="0.2">
      <c r="A370">
        <v>383</v>
      </c>
      <c r="B370" t="s">
        <v>2170</v>
      </c>
      <c r="C370">
        <v>1</v>
      </c>
      <c r="D370" t="s">
        <v>867</v>
      </c>
      <c r="F370" t="s">
        <v>503</v>
      </c>
      <c r="G370" t="s">
        <v>396</v>
      </c>
      <c r="H370" t="str">
        <f>_xlfn.IFNA(+VLOOKUP(G370,Agrupacion!A:B,2,0),"")</f>
        <v>AGRUPADOR 3</v>
      </c>
      <c r="I370" t="str">
        <f>_xlfn.IFNA(+VLOOKUP(G370,Agrupacion!A:C,3,0),"")</f>
        <v>CABA SUR II</v>
      </c>
      <c r="K370" t="s">
        <v>313</v>
      </c>
      <c r="M370" t="s">
        <v>8</v>
      </c>
    </row>
    <row r="371" spans="1:13" x14ac:dyDescent="0.2">
      <c r="A371">
        <v>384</v>
      </c>
      <c r="B371" t="s">
        <v>2171</v>
      </c>
      <c r="C371">
        <v>1</v>
      </c>
      <c r="D371" t="s">
        <v>868</v>
      </c>
      <c r="E371" t="s">
        <v>361</v>
      </c>
      <c r="F371" t="s">
        <v>869</v>
      </c>
      <c r="G371" t="s">
        <v>870</v>
      </c>
      <c r="H371" t="str">
        <f>_xlfn.IFNA(+VLOOKUP(G371,Agrupacion!A:B,2,0),"")</f>
        <v>AGRUPADOR 8</v>
      </c>
      <c r="I371" t="str">
        <f>_xlfn.IFNA(+VLOOKUP(G371,Agrupacion!A:C,3,0),"")</f>
        <v>GBA NORTE</v>
      </c>
      <c r="J371" t="s">
        <v>871</v>
      </c>
      <c r="K371" t="s">
        <v>872</v>
      </c>
      <c r="L371" t="s">
        <v>873</v>
      </c>
      <c r="M371" t="s">
        <v>8</v>
      </c>
    </row>
    <row r="372" spans="1:13" x14ac:dyDescent="0.2">
      <c r="A372">
        <v>385</v>
      </c>
      <c r="B372" t="s">
        <v>2172</v>
      </c>
      <c r="C372">
        <v>1</v>
      </c>
      <c r="D372" t="s">
        <v>874</v>
      </c>
      <c r="E372" t="s">
        <v>10</v>
      </c>
      <c r="F372" t="s">
        <v>875</v>
      </c>
      <c r="G372" t="s">
        <v>170</v>
      </c>
      <c r="H372" t="str">
        <f>_xlfn.IFNA(+VLOOKUP(G372,Agrupacion!A:B,2,0),"")</f>
        <v>AGRUPADOR 2</v>
      </c>
      <c r="I372" t="str">
        <f>_xlfn.IFNA(+VLOOKUP(G372,Agrupacion!A:C,3,0),"")</f>
        <v>CABA SUR</v>
      </c>
      <c r="K372" t="s">
        <v>876</v>
      </c>
      <c r="L372" t="s">
        <v>877</v>
      </c>
      <c r="M372" t="s">
        <v>8</v>
      </c>
    </row>
    <row r="373" spans="1:13" x14ac:dyDescent="0.2">
      <c r="A373">
        <v>386</v>
      </c>
      <c r="B373" t="s">
        <v>2173</v>
      </c>
      <c r="C373">
        <v>1</v>
      </c>
      <c r="D373" t="s">
        <v>878</v>
      </c>
      <c r="F373" t="s">
        <v>879</v>
      </c>
      <c r="G373" t="s">
        <v>1192</v>
      </c>
      <c r="H373" t="str">
        <f>_xlfn.IFNA(+VLOOKUP(G373,Agrupacion!A:B,2,0),"")</f>
        <v>AGRUPADOR 3</v>
      </c>
      <c r="I373" t="str">
        <f>_xlfn.IFNA(+VLOOKUP(G373,Agrupacion!A:C,3,0),"")</f>
        <v>CABA SUR II</v>
      </c>
      <c r="M373" t="s">
        <v>8</v>
      </c>
    </row>
    <row r="374" spans="1:13" x14ac:dyDescent="0.2">
      <c r="A374">
        <v>387</v>
      </c>
      <c r="B374" t="s">
        <v>2174</v>
      </c>
      <c r="C374">
        <v>1</v>
      </c>
      <c r="D374" t="s">
        <v>880</v>
      </c>
      <c r="E374" t="s">
        <v>10</v>
      </c>
      <c r="F374" t="s">
        <v>881</v>
      </c>
      <c r="G374" t="s">
        <v>396</v>
      </c>
      <c r="H374" t="str">
        <f>_xlfn.IFNA(+VLOOKUP(G374,Agrupacion!A:B,2,0),"")</f>
        <v>AGRUPADOR 3</v>
      </c>
      <c r="I374" t="str">
        <f>_xlfn.IFNA(+VLOOKUP(G374,Agrupacion!A:C,3,0),"")</f>
        <v>CABA SUR II</v>
      </c>
      <c r="K374" t="s">
        <v>882</v>
      </c>
      <c r="M374" t="s">
        <v>8</v>
      </c>
    </row>
    <row r="375" spans="1:13" x14ac:dyDescent="0.2">
      <c r="A375">
        <v>388</v>
      </c>
      <c r="B375" t="s">
        <v>2175</v>
      </c>
      <c r="C375">
        <v>1</v>
      </c>
      <c r="D375" t="s">
        <v>883</v>
      </c>
      <c r="E375" t="s">
        <v>10</v>
      </c>
      <c r="F375" t="s">
        <v>254</v>
      </c>
      <c r="G375" t="s">
        <v>396</v>
      </c>
      <c r="H375" t="str">
        <f>_xlfn.IFNA(+VLOOKUP(G375,Agrupacion!A:B,2,0),"")</f>
        <v>AGRUPADOR 3</v>
      </c>
      <c r="I375" t="str">
        <f>_xlfn.IFNA(+VLOOKUP(G375,Agrupacion!A:C,3,0),"")</f>
        <v>CABA SUR II</v>
      </c>
      <c r="J375" t="s">
        <v>15</v>
      </c>
      <c r="K375" t="s">
        <v>771</v>
      </c>
      <c r="M375" t="s">
        <v>8</v>
      </c>
    </row>
    <row r="376" spans="1:13" x14ac:dyDescent="0.2">
      <c r="A376">
        <v>389</v>
      </c>
      <c r="B376" t="s">
        <v>2176</v>
      </c>
      <c r="C376">
        <v>1</v>
      </c>
      <c r="D376" t="s">
        <v>884</v>
      </c>
      <c r="E376" t="s">
        <v>10</v>
      </c>
      <c r="F376" t="s">
        <v>885</v>
      </c>
      <c r="G376" t="s">
        <v>396</v>
      </c>
      <c r="H376" t="str">
        <f>_xlfn.IFNA(+VLOOKUP(G376,Agrupacion!A:B,2,0),"")</f>
        <v>AGRUPADOR 3</v>
      </c>
      <c r="I376" t="str">
        <f>_xlfn.IFNA(+VLOOKUP(G376,Agrupacion!A:C,3,0),"")</f>
        <v>CABA SUR II</v>
      </c>
      <c r="K376" t="s">
        <v>886</v>
      </c>
      <c r="M376" t="s">
        <v>8</v>
      </c>
    </row>
    <row r="377" spans="1:13" x14ac:dyDescent="0.2">
      <c r="A377">
        <v>390</v>
      </c>
      <c r="B377" t="s">
        <v>2177</v>
      </c>
      <c r="C377">
        <v>1</v>
      </c>
      <c r="D377" t="s">
        <v>891</v>
      </c>
      <c r="F377" t="s">
        <v>24</v>
      </c>
      <c r="G377" t="s">
        <v>396</v>
      </c>
      <c r="H377" t="str">
        <f>_xlfn.IFNA(+VLOOKUP(G377,Agrupacion!A:B,2,0),"")</f>
        <v>AGRUPADOR 3</v>
      </c>
      <c r="I377" t="str">
        <f>_xlfn.IFNA(+VLOOKUP(G377,Agrupacion!A:C,3,0),"")</f>
        <v>CABA SUR II</v>
      </c>
      <c r="M377" t="s">
        <v>8</v>
      </c>
    </row>
    <row r="378" spans="1:13" x14ac:dyDescent="0.2">
      <c r="A378">
        <v>391</v>
      </c>
      <c r="B378" t="s">
        <v>2178</v>
      </c>
      <c r="C378">
        <v>1</v>
      </c>
      <c r="D378" t="s">
        <v>892</v>
      </c>
      <c r="E378" t="s">
        <v>10</v>
      </c>
      <c r="F378" t="s">
        <v>893</v>
      </c>
      <c r="G378" t="s">
        <v>396</v>
      </c>
      <c r="H378" t="str">
        <f>_xlfn.IFNA(+VLOOKUP(G378,Agrupacion!A:B,2,0),"")</f>
        <v>AGRUPADOR 3</v>
      </c>
      <c r="I378" t="str">
        <f>_xlfn.IFNA(+VLOOKUP(G378,Agrupacion!A:C,3,0),"")</f>
        <v>CABA SUR II</v>
      </c>
      <c r="K378" t="s">
        <v>799</v>
      </c>
      <c r="M378" t="s">
        <v>8</v>
      </c>
    </row>
    <row r="379" spans="1:13" x14ac:dyDescent="0.2">
      <c r="A379">
        <v>392</v>
      </c>
      <c r="B379" t="s">
        <v>2179</v>
      </c>
      <c r="C379">
        <v>1</v>
      </c>
      <c r="D379" t="s">
        <v>894</v>
      </c>
      <c r="E379" t="s">
        <v>10</v>
      </c>
      <c r="F379" t="s">
        <v>895</v>
      </c>
      <c r="G379" t="s">
        <v>1747</v>
      </c>
      <c r="H379" t="str">
        <f>_xlfn.IFNA(+VLOOKUP(G379,Agrupacion!A:B,2,0),"")</f>
        <v>AGRUPADOR 5</v>
      </c>
      <c r="I379" t="str">
        <f>_xlfn.IFNA(+VLOOKUP(G379,Agrupacion!A:C,3,0),"")</f>
        <v>GBA SUR II</v>
      </c>
      <c r="K379" t="s">
        <v>896</v>
      </c>
      <c r="M379" t="s">
        <v>8</v>
      </c>
    </row>
    <row r="380" spans="1:13" x14ac:dyDescent="0.2">
      <c r="A380">
        <v>194</v>
      </c>
      <c r="B380" t="s">
        <v>2730</v>
      </c>
      <c r="D380" t="s">
        <v>2731</v>
      </c>
      <c r="F380" t="s">
        <v>2732</v>
      </c>
      <c r="G380" t="s">
        <v>249</v>
      </c>
      <c r="H380" t="str">
        <f>_xlfn.IFNA(+VLOOKUP(G380,Agrupacion!A:B,2,0),"")</f>
        <v>AGRUPADOR 2</v>
      </c>
      <c r="I380" t="str">
        <f>_xlfn.IFNA(+VLOOKUP(G380,Agrupacion!A:C,3,0),"")</f>
        <v>CABA SUR</v>
      </c>
      <c r="J380" t="s">
        <v>15</v>
      </c>
    </row>
    <row r="381" spans="1:13" x14ac:dyDescent="0.2">
      <c r="A381">
        <v>394</v>
      </c>
      <c r="B381" t="s">
        <v>2181</v>
      </c>
      <c r="C381">
        <v>1</v>
      </c>
      <c r="D381" t="s">
        <v>900</v>
      </c>
      <c r="E381" t="s">
        <v>10</v>
      </c>
      <c r="F381" t="s">
        <v>901</v>
      </c>
      <c r="G381" t="s">
        <v>48</v>
      </c>
      <c r="H381" t="str">
        <f>_xlfn.IFNA(+VLOOKUP(G381,Agrupacion!A:B,2,0),"")</f>
        <v>AGRUPADOR 2</v>
      </c>
      <c r="I381" t="str">
        <f>_xlfn.IFNA(+VLOOKUP(G381,Agrupacion!A:C,3,0),"")</f>
        <v>CABA SUR</v>
      </c>
      <c r="J381" t="s">
        <v>15</v>
      </c>
      <c r="K381" t="s">
        <v>899</v>
      </c>
      <c r="M381" t="s">
        <v>8</v>
      </c>
    </row>
    <row r="382" spans="1:13" x14ac:dyDescent="0.2">
      <c r="A382">
        <v>395</v>
      </c>
      <c r="B382" t="s">
        <v>2182</v>
      </c>
      <c r="C382">
        <v>1</v>
      </c>
      <c r="D382" t="s">
        <v>902</v>
      </c>
      <c r="E382" t="s">
        <v>10</v>
      </c>
      <c r="F382" t="s">
        <v>903</v>
      </c>
      <c r="G382" t="s">
        <v>396</v>
      </c>
      <c r="H382" t="str">
        <f>_xlfn.IFNA(+VLOOKUP(G382,Agrupacion!A:B,2,0),"")</f>
        <v>AGRUPADOR 3</v>
      </c>
      <c r="I382" t="str">
        <f>_xlfn.IFNA(+VLOOKUP(G382,Agrupacion!A:C,3,0),"")</f>
        <v>CABA SUR II</v>
      </c>
      <c r="J382" t="s">
        <v>15</v>
      </c>
      <c r="K382" t="s">
        <v>904</v>
      </c>
      <c r="M382" t="s">
        <v>8</v>
      </c>
    </row>
    <row r="383" spans="1:13" x14ac:dyDescent="0.2">
      <c r="A383">
        <v>396</v>
      </c>
      <c r="B383" t="s">
        <v>2183</v>
      </c>
      <c r="C383">
        <v>1</v>
      </c>
      <c r="D383" t="s">
        <v>905</v>
      </c>
      <c r="E383" t="s">
        <v>10</v>
      </c>
      <c r="F383" t="s">
        <v>906</v>
      </c>
      <c r="G383" t="s">
        <v>842</v>
      </c>
      <c r="H383" t="str">
        <f>_xlfn.IFNA(+VLOOKUP(G383,Agrupacion!A:B,2,0),"")</f>
        <v>AGRUPADOR 1</v>
      </c>
      <c r="I383" t="str">
        <f>_xlfn.IFNA(+VLOOKUP(G383,Agrupacion!A:C,3,0),"")</f>
        <v>CABA NORTE</v>
      </c>
      <c r="J383" t="s">
        <v>907</v>
      </c>
      <c r="K383" t="s">
        <v>908</v>
      </c>
      <c r="L383" t="s">
        <v>909</v>
      </c>
      <c r="M383" t="s">
        <v>8</v>
      </c>
    </row>
    <row r="384" spans="1:13" x14ac:dyDescent="0.2">
      <c r="A384">
        <v>397</v>
      </c>
      <c r="B384" t="s">
        <v>2184</v>
      </c>
      <c r="C384">
        <v>1</v>
      </c>
      <c r="D384" t="s">
        <v>910</v>
      </c>
      <c r="F384" t="s">
        <v>911</v>
      </c>
      <c r="G384" t="s">
        <v>2697</v>
      </c>
      <c r="H384" t="str">
        <f>_xlfn.IFNA(+VLOOKUP(G384,Agrupacion!A:B,2,0),"")</f>
        <v>AGRUPADOR 3</v>
      </c>
      <c r="I384" t="str">
        <f>_xlfn.IFNA(+VLOOKUP(G384,Agrupacion!A:C,3,0),"")</f>
        <v>CABA SUR II</v>
      </c>
      <c r="K384" t="s">
        <v>555</v>
      </c>
      <c r="M384" t="s">
        <v>8</v>
      </c>
    </row>
    <row r="385" spans="1:13" x14ac:dyDescent="0.2">
      <c r="A385">
        <v>399</v>
      </c>
      <c r="B385" t="s">
        <v>2185</v>
      </c>
      <c r="C385">
        <v>1</v>
      </c>
      <c r="D385" t="s">
        <v>912</v>
      </c>
      <c r="E385" t="s">
        <v>10</v>
      </c>
      <c r="F385" t="s">
        <v>913</v>
      </c>
      <c r="G385" t="s">
        <v>396</v>
      </c>
      <c r="H385" t="str">
        <f>_xlfn.IFNA(+VLOOKUP(G385,Agrupacion!A:B,2,0),"")</f>
        <v>AGRUPADOR 3</v>
      </c>
      <c r="I385" t="str">
        <f>_xlfn.IFNA(+VLOOKUP(G385,Agrupacion!A:C,3,0),"")</f>
        <v>CABA SUR II</v>
      </c>
      <c r="J385" t="s">
        <v>15</v>
      </c>
      <c r="K385" t="s">
        <v>914</v>
      </c>
      <c r="L385" t="s">
        <v>915</v>
      </c>
      <c r="M385" t="s">
        <v>8</v>
      </c>
    </row>
    <row r="386" spans="1:13" x14ac:dyDescent="0.2">
      <c r="A386">
        <v>400</v>
      </c>
      <c r="B386" t="s">
        <v>2186</v>
      </c>
      <c r="C386">
        <v>1</v>
      </c>
      <c r="D386" t="s">
        <v>923</v>
      </c>
      <c r="E386" t="s">
        <v>10</v>
      </c>
      <c r="F386" t="s">
        <v>924</v>
      </c>
      <c r="G386" t="s">
        <v>2699</v>
      </c>
      <c r="H386" t="str">
        <f>_xlfn.IFNA(+VLOOKUP(G386,Agrupacion!A:B,2,0),"")</f>
        <v>AGRUPADOR 2</v>
      </c>
      <c r="I386" t="str">
        <f>_xlfn.IFNA(+VLOOKUP(G386,Agrupacion!A:C,3,0),"")</f>
        <v>CABA SUR</v>
      </c>
      <c r="L386" t="s">
        <v>925</v>
      </c>
      <c r="M386" t="s">
        <v>8</v>
      </c>
    </row>
    <row r="387" spans="1:13" x14ac:dyDescent="0.2">
      <c r="A387">
        <v>401</v>
      </c>
      <c r="B387" t="s">
        <v>2187</v>
      </c>
      <c r="C387">
        <v>1</v>
      </c>
      <c r="D387" t="s">
        <v>926</v>
      </c>
      <c r="E387" t="s">
        <v>10</v>
      </c>
      <c r="F387" t="s">
        <v>879</v>
      </c>
      <c r="G387" t="s">
        <v>48</v>
      </c>
      <c r="H387" t="str">
        <f>_xlfn.IFNA(+VLOOKUP(G387,Agrupacion!A:B,2,0),"")</f>
        <v>AGRUPADOR 2</v>
      </c>
      <c r="I387" t="str">
        <f>_xlfn.IFNA(+VLOOKUP(G387,Agrupacion!A:C,3,0),"")</f>
        <v>CABA SUR</v>
      </c>
      <c r="J387" t="s">
        <v>15</v>
      </c>
      <c r="K387" t="s">
        <v>927</v>
      </c>
      <c r="M387" t="s">
        <v>8</v>
      </c>
    </row>
    <row r="388" spans="1:13" x14ac:dyDescent="0.2">
      <c r="A388">
        <v>402</v>
      </c>
      <c r="B388" t="s">
        <v>2188</v>
      </c>
      <c r="C388">
        <v>1</v>
      </c>
      <c r="D388" t="s">
        <v>928</v>
      </c>
      <c r="E388" t="s">
        <v>10</v>
      </c>
      <c r="F388" t="s">
        <v>929</v>
      </c>
      <c r="G388" t="s">
        <v>842</v>
      </c>
      <c r="H388" t="str">
        <f>_xlfn.IFNA(+VLOOKUP(G388,Agrupacion!A:B,2,0),"")</f>
        <v>AGRUPADOR 1</v>
      </c>
      <c r="I388" t="str">
        <f>_xlfn.IFNA(+VLOOKUP(G388,Agrupacion!A:C,3,0),"")</f>
        <v>CABA NORTE</v>
      </c>
      <c r="K388" t="s">
        <v>662</v>
      </c>
      <c r="M388" t="s">
        <v>8</v>
      </c>
    </row>
    <row r="389" spans="1:13" x14ac:dyDescent="0.2">
      <c r="A389">
        <v>403</v>
      </c>
      <c r="B389" t="s">
        <v>2189</v>
      </c>
      <c r="C389">
        <v>1</v>
      </c>
      <c r="D389" t="s">
        <v>930</v>
      </c>
      <c r="F389" t="s">
        <v>931</v>
      </c>
      <c r="G389" t="s">
        <v>98</v>
      </c>
      <c r="H389" t="str">
        <f>_xlfn.IFNA(+VLOOKUP(G389,Agrupacion!A:B,2,0),"")</f>
        <v>AGRUPADOR 4</v>
      </c>
      <c r="I389" t="str">
        <f>_xlfn.IFNA(+VLOOKUP(G389,Agrupacion!A:C,3,0),"")</f>
        <v>GBA SUR</v>
      </c>
      <c r="M389" t="s">
        <v>8</v>
      </c>
    </row>
    <row r="390" spans="1:13" x14ac:dyDescent="0.2">
      <c r="A390">
        <v>404</v>
      </c>
      <c r="B390" t="s">
        <v>2190</v>
      </c>
      <c r="C390">
        <v>1</v>
      </c>
      <c r="D390" t="s">
        <v>932</v>
      </c>
      <c r="F390" t="s">
        <v>933</v>
      </c>
      <c r="G390" t="s">
        <v>396</v>
      </c>
      <c r="H390" t="str">
        <f>_xlfn.IFNA(+VLOOKUP(G390,Agrupacion!A:B,2,0),"")</f>
        <v>AGRUPADOR 3</v>
      </c>
      <c r="I390" t="str">
        <f>_xlfn.IFNA(+VLOOKUP(G390,Agrupacion!A:C,3,0),"")</f>
        <v>CABA SUR II</v>
      </c>
      <c r="M390" t="s">
        <v>8</v>
      </c>
    </row>
    <row r="391" spans="1:13" x14ac:dyDescent="0.2">
      <c r="A391">
        <v>405</v>
      </c>
      <c r="B391" t="s">
        <v>2191</v>
      </c>
      <c r="C391">
        <v>1</v>
      </c>
      <c r="D391" t="s">
        <v>934</v>
      </c>
      <c r="E391" t="s">
        <v>10</v>
      </c>
      <c r="F391" t="s">
        <v>935</v>
      </c>
      <c r="G391" t="s">
        <v>48</v>
      </c>
      <c r="H391" t="str">
        <f>_xlfn.IFNA(+VLOOKUP(G391,Agrupacion!A:B,2,0),"")</f>
        <v>AGRUPADOR 2</v>
      </c>
      <c r="I391" t="str">
        <f>_xlfn.IFNA(+VLOOKUP(G391,Agrupacion!A:C,3,0),"")</f>
        <v>CABA SUR</v>
      </c>
      <c r="J391" t="s">
        <v>15</v>
      </c>
      <c r="K391" t="s">
        <v>936</v>
      </c>
      <c r="M391" t="s">
        <v>8</v>
      </c>
    </row>
    <row r="392" spans="1:13" x14ac:dyDescent="0.2">
      <c r="A392">
        <v>406</v>
      </c>
      <c r="B392" t="s">
        <v>2192</v>
      </c>
      <c r="C392">
        <v>1</v>
      </c>
      <c r="D392" t="s">
        <v>937</v>
      </c>
      <c r="E392" t="s">
        <v>96</v>
      </c>
      <c r="F392" t="s">
        <v>938</v>
      </c>
      <c r="G392" t="s">
        <v>939</v>
      </c>
      <c r="H392" t="str">
        <f>_xlfn.IFNA(+VLOOKUP(G392,Agrupacion!A:B,2,0),"")</f>
        <v>AGRUPADOR 8</v>
      </c>
      <c r="I392" t="str">
        <f>_xlfn.IFNA(+VLOOKUP(G392,Agrupacion!A:C,3,0),"")</f>
        <v>GBA NORTE</v>
      </c>
      <c r="J392" t="s">
        <v>940</v>
      </c>
      <c r="K392" t="s">
        <v>941</v>
      </c>
      <c r="M392" t="s">
        <v>8</v>
      </c>
    </row>
    <row r="393" spans="1:13" x14ac:dyDescent="0.2">
      <c r="A393">
        <v>407</v>
      </c>
      <c r="B393" t="s">
        <v>2193</v>
      </c>
      <c r="C393">
        <v>1</v>
      </c>
      <c r="D393" t="s">
        <v>732</v>
      </c>
      <c r="E393" t="s">
        <v>10</v>
      </c>
      <c r="F393" t="s">
        <v>733</v>
      </c>
      <c r="G393" t="s">
        <v>201</v>
      </c>
      <c r="H393" t="str">
        <f>_xlfn.IFNA(+VLOOKUP(G393,Agrupacion!A:B,2,0),"")</f>
        <v>AGRUPADOR 2</v>
      </c>
      <c r="I393" t="str">
        <f>_xlfn.IFNA(+VLOOKUP(G393,Agrupacion!A:C,3,0),"")</f>
        <v>CABA SUR</v>
      </c>
      <c r="K393" t="s">
        <v>942</v>
      </c>
      <c r="M393" t="s">
        <v>8</v>
      </c>
    </row>
    <row r="394" spans="1:13" x14ac:dyDescent="0.2">
      <c r="A394">
        <v>408</v>
      </c>
      <c r="B394" t="s">
        <v>2194</v>
      </c>
      <c r="C394">
        <v>1</v>
      </c>
      <c r="D394" t="s">
        <v>943</v>
      </c>
      <c r="E394" t="s">
        <v>10</v>
      </c>
      <c r="F394" t="s">
        <v>944</v>
      </c>
      <c r="G394" t="s">
        <v>48</v>
      </c>
      <c r="H394" t="str">
        <f>_xlfn.IFNA(+VLOOKUP(G394,Agrupacion!A:B,2,0),"")</f>
        <v>AGRUPADOR 2</v>
      </c>
      <c r="I394" t="str">
        <f>_xlfn.IFNA(+VLOOKUP(G394,Agrupacion!A:C,3,0),"")</f>
        <v>CABA SUR</v>
      </c>
      <c r="J394" t="s">
        <v>15</v>
      </c>
      <c r="K394" t="s">
        <v>945</v>
      </c>
      <c r="L394" t="s">
        <v>946</v>
      </c>
      <c r="M394" t="s">
        <v>8</v>
      </c>
    </row>
    <row r="395" spans="1:13" x14ac:dyDescent="0.2">
      <c r="A395">
        <v>409</v>
      </c>
      <c r="B395" t="s">
        <v>2195</v>
      </c>
      <c r="C395">
        <v>1</v>
      </c>
      <c r="D395" t="s">
        <v>947</v>
      </c>
      <c r="E395" t="s">
        <v>10</v>
      </c>
      <c r="F395" t="s">
        <v>948</v>
      </c>
      <c r="G395" t="s">
        <v>396</v>
      </c>
      <c r="H395" t="str">
        <f>_xlfn.IFNA(+VLOOKUP(G395,Agrupacion!A:B,2,0),"")</f>
        <v>AGRUPADOR 3</v>
      </c>
      <c r="I395" t="str">
        <f>_xlfn.IFNA(+VLOOKUP(G395,Agrupacion!A:C,3,0),"")</f>
        <v>CABA SUR II</v>
      </c>
      <c r="J395" t="s">
        <v>15</v>
      </c>
      <c r="K395" t="s">
        <v>949</v>
      </c>
      <c r="M395" t="s">
        <v>8</v>
      </c>
    </row>
    <row r="396" spans="1:13" x14ac:dyDescent="0.2">
      <c r="A396">
        <v>410</v>
      </c>
      <c r="B396" t="s">
        <v>2196</v>
      </c>
      <c r="C396">
        <v>1</v>
      </c>
      <c r="D396" t="s">
        <v>953</v>
      </c>
      <c r="E396" t="s">
        <v>10</v>
      </c>
      <c r="F396" t="s">
        <v>954</v>
      </c>
      <c r="G396" t="s">
        <v>170</v>
      </c>
      <c r="H396" t="str">
        <f>_xlfn.IFNA(+VLOOKUP(G396,Agrupacion!A:B,2,0),"")</f>
        <v>AGRUPADOR 2</v>
      </c>
      <c r="I396" t="str">
        <f>_xlfn.IFNA(+VLOOKUP(G396,Agrupacion!A:C,3,0),"")</f>
        <v>CABA SUR</v>
      </c>
      <c r="J396" t="s">
        <v>244</v>
      </c>
      <c r="K396" t="s">
        <v>955</v>
      </c>
      <c r="M396" t="s">
        <v>8</v>
      </c>
    </row>
    <row r="397" spans="1:13" x14ac:dyDescent="0.2">
      <c r="A397">
        <v>411</v>
      </c>
      <c r="B397" t="s">
        <v>2197</v>
      </c>
      <c r="C397">
        <v>1</v>
      </c>
      <c r="D397" t="s">
        <v>956</v>
      </c>
      <c r="E397" t="s">
        <v>96</v>
      </c>
      <c r="F397" t="s">
        <v>957</v>
      </c>
      <c r="G397" t="s">
        <v>958</v>
      </c>
      <c r="H397" t="str">
        <f>_xlfn.IFNA(+VLOOKUP(G397,Agrupacion!A:B,2,0),"")</f>
        <v>AGRUPADOR 6</v>
      </c>
      <c r="I397" t="str">
        <f>_xlfn.IFNA(+VLOOKUP(G397,Agrupacion!A:C,3,0),"")</f>
        <v>GBA OESTE</v>
      </c>
      <c r="K397" t="s">
        <v>959</v>
      </c>
      <c r="M397" t="s">
        <v>8</v>
      </c>
    </row>
    <row r="398" spans="1:13" x14ac:dyDescent="0.2">
      <c r="A398">
        <v>412</v>
      </c>
      <c r="B398" t="s">
        <v>2198</v>
      </c>
      <c r="C398">
        <v>1</v>
      </c>
      <c r="D398" t="s">
        <v>960</v>
      </c>
      <c r="F398" t="s">
        <v>961</v>
      </c>
      <c r="G398" t="s">
        <v>249</v>
      </c>
      <c r="H398" t="str">
        <f>_xlfn.IFNA(+VLOOKUP(G398,Agrupacion!A:B,2,0),"")</f>
        <v>AGRUPADOR 2</v>
      </c>
      <c r="I398" t="str">
        <f>_xlfn.IFNA(+VLOOKUP(G398,Agrupacion!A:C,3,0),"")</f>
        <v>CABA SUR</v>
      </c>
      <c r="M398" t="s">
        <v>8</v>
      </c>
    </row>
    <row r="399" spans="1:13" x14ac:dyDescent="0.2">
      <c r="A399">
        <v>413</v>
      </c>
      <c r="B399" t="s">
        <v>2199</v>
      </c>
      <c r="C399">
        <v>1</v>
      </c>
      <c r="D399" t="s">
        <v>962</v>
      </c>
      <c r="E399" t="s">
        <v>10</v>
      </c>
      <c r="F399" t="s">
        <v>963</v>
      </c>
      <c r="G399" t="s">
        <v>249</v>
      </c>
      <c r="H399" t="str">
        <f>_xlfn.IFNA(+VLOOKUP(G399,Agrupacion!A:B,2,0),"")</f>
        <v>AGRUPADOR 2</v>
      </c>
      <c r="I399" t="str">
        <f>_xlfn.IFNA(+VLOOKUP(G399,Agrupacion!A:C,3,0),"")</f>
        <v>CABA SUR</v>
      </c>
      <c r="J399" t="s">
        <v>964</v>
      </c>
      <c r="K399" t="s">
        <v>965</v>
      </c>
      <c r="M399" t="s">
        <v>8</v>
      </c>
    </row>
    <row r="400" spans="1:13" x14ac:dyDescent="0.2">
      <c r="A400">
        <v>414</v>
      </c>
      <c r="B400" t="s">
        <v>2200</v>
      </c>
      <c r="C400">
        <v>1</v>
      </c>
      <c r="D400" t="s">
        <v>966</v>
      </c>
      <c r="E400" t="s">
        <v>10</v>
      </c>
      <c r="F400" t="s">
        <v>967</v>
      </c>
      <c r="G400" t="s">
        <v>170</v>
      </c>
      <c r="H400" t="str">
        <f>_xlfn.IFNA(+VLOOKUP(G400,Agrupacion!A:B,2,0),"")</f>
        <v>AGRUPADOR 2</v>
      </c>
      <c r="I400" t="str">
        <f>_xlfn.IFNA(+VLOOKUP(G400,Agrupacion!A:C,3,0),"")</f>
        <v>CABA SUR</v>
      </c>
      <c r="J400" t="s">
        <v>115</v>
      </c>
      <c r="K400" t="s">
        <v>968</v>
      </c>
      <c r="M400" t="s">
        <v>8</v>
      </c>
    </row>
    <row r="401" spans="1:13" x14ac:dyDescent="0.2">
      <c r="A401">
        <v>416</v>
      </c>
      <c r="B401" t="s">
        <v>2201</v>
      </c>
      <c r="C401">
        <v>1</v>
      </c>
      <c r="D401" t="s">
        <v>969</v>
      </c>
      <c r="F401" t="s">
        <v>970</v>
      </c>
      <c r="G401" t="s">
        <v>2697</v>
      </c>
      <c r="H401" t="str">
        <f>_xlfn.IFNA(+VLOOKUP(G401,Agrupacion!A:B,2,0),"")</f>
        <v>AGRUPADOR 3</v>
      </c>
      <c r="I401" t="str">
        <f>_xlfn.IFNA(+VLOOKUP(G401,Agrupacion!A:C,3,0),"")</f>
        <v>CABA SUR II</v>
      </c>
      <c r="K401" t="s">
        <v>971</v>
      </c>
      <c r="M401" t="s">
        <v>8</v>
      </c>
    </row>
    <row r="402" spans="1:13" x14ac:dyDescent="0.2">
      <c r="A402">
        <v>417</v>
      </c>
      <c r="B402" t="s">
        <v>2202</v>
      </c>
      <c r="C402">
        <v>1</v>
      </c>
      <c r="D402" t="s">
        <v>972</v>
      </c>
      <c r="E402" t="s">
        <v>96</v>
      </c>
      <c r="F402" t="s">
        <v>973</v>
      </c>
      <c r="G402" t="s">
        <v>2682</v>
      </c>
      <c r="H402" t="str">
        <f>_xlfn.IFNA(+VLOOKUP(G402,Agrupacion!A:B,2,0),"")</f>
        <v>AGRUPADOR 6</v>
      </c>
      <c r="I402" t="str">
        <f>_xlfn.IFNA(+VLOOKUP(G402,Agrupacion!A:C,3,0),"")</f>
        <v>GBA OESTE</v>
      </c>
      <c r="K402" t="s">
        <v>974</v>
      </c>
      <c r="M402" t="s">
        <v>8</v>
      </c>
    </row>
    <row r="403" spans="1:13" x14ac:dyDescent="0.2">
      <c r="A403">
        <v>418</v>
      </c>
      <c r="B403" t="s">
        <v>2203</v>
      </c>
      <c r="C403">
        <v>1</v>
      </c>
      <c r="D403" t="s">
        <v>975</v>
      </c>
      <c r="E403" t="s">
        <v>10</v>
      </c>
      <c r="F403" t="s">
        <v>976</v>
      </c>
      <c r="G403" t="s">
        <v>2697</v>
      </c>
      <c r="H403" t="str">
        <f>_xlfn.IFNA(+VLOOKUP(G403,Agrupacion!A:B,2,0),"")</f>
        <v>AGRUPADOR 3</v>
      </c>
      <c r="I403" t="str">
        <f>_xlfn.IFNA(+VLOOKUP(G403,Agrupacion!A:C,3,0),"")</f>
        <v>CABA SUR II</v>
      </c>
      <c r="K403" t="s">
        <v>555</v>
      </c>
      <c r="L403" t="s">
        <v>977</v>
      </c>
      <c r="M403" t="s">
        <v>8</v>
      </c>
    </row>
    <row r="404" spans="1:13" x14ac:dyDescent="0.2">
      <c r="A404">
        <v>419</v>
      </c>
      <c r="B404" t="s">
        <v>2204</v>
      </c>
      <c r="C404">
        <v>1</v>
      </c>
      <c r="D404" t="s">
        <v>978</v>
      </c>
      <c r="E404" t="s">
        <v>10</v>
      </c>
      <c r="F404" t="s">
        <v>979</v>
      </c>
      <c r="G404" t="s">
        <v>396</v>
      </c>
      <c r="H404" t="str">
        <f>_xlfn.IFNA(+VLOOKUP(G404,Agrupacion!A:B,2,0),"")</f>
        <v>AGRUPADOR 3</v>
      </c>
      <c r="I404" t="str">
        <f>_xlfn.IFNA(+VLOOKUP(G404,Agrupacion!A:C,3,0),"")</f>
        <v>CABA SUR II</v>
      </c>
      <c r="J404" t="s">
        <v>15</v>
      </c>
      <c r="K404" t="s">
        <v>980</v>
      </c>
      <c r="L404" t="s">
        <v>981</v>
      </c>
      <c r="M404" t="s">
        <v>8</v>
      </c>
    </row>
    <row r="405" spans="1:13" x14ac:dyDescent="0.2">
      <c r="A405">
        <v>420</v>
      </c>
      <c r="B405" t="s">
        <v>2205</v>
      </c>
      <c r="C405">
        <v>1</v>
      </c>
      <c r="D405" t="s">
        <v>984</v>
      </c>
      <c r="E405" t="s">
        <v>10</v>
      </c>
      <c r="F405" t="s">
        <v>61</v>
      </c>
      <c r="G405" t="s">
        <v>396</v>
      </c>
      <c r="H405" t="str">
        <f>_xlfn.IFNA(+VLOOKUP(G405,Agrupacion!A:B,2,0),"")</f>
        <v>AGRUPADOR 3</v>
      </c>
      <c r="I405" t="str">
        <f>_xlfn.IFNA(+VLOOKUP(G405,Agrupacion!A:C,3,0),"")</f>
        <v>CABA SUR II</v>
      </c>
      <c r="K405" t="s">
        <v>985</v>
      </c>
      <c r="M405" t="s">
        <v>8</v>
      </c>
    </row>
    <row r="406" spans="1:13" x14ac:dyDescent="0.2">
      <c r="A406">
        <v>421</v>
      </c>
      <c r="B406" t="s">
        <v>2206</v>
      </c>
      <c r="C406">
        <v>1</v>
      </c>
      <c r="D406" t="s">
        <v>986</v>
      </c>
      <c r="E406" t="s">
        <v>10</v>
      </c>
      <c r="F406" t="s">
        <v>987</v>
      </c>
      <c r="G406" t="s">
        <v>396</v>
      </c>
      <c r="H406" t="str">
        <f>_xlfn.IFNA(+VLOOKUP(G406,Agrupacion!A:B,2,0),"")</f>
        <v>AGRUPADOR 3</v>
      </c>
      <c r="I406" t="str">
        <f>_xlfn.IFNA(+VLOOKUP(G406,Agrupacion!A:C,3,0),"")</f>
        <v>CABA SUR II</v>
      </c>
      <c r="K406" t="s">
        <v>988</v>
      </c>
      <c r="M406" t="s">
        <v>8</v>
      </c>
    </row>
    <row r="407" spans="1:13" x14ac:dyDescent="0.2">
      <c r="A407">
        <v>422</v>
      </c>
      <c r="B407" t="s">
        <v>2207</v>
      </c>
      <c r="C407">
        <v>1</v>
      </c>
      <c r="D407" t="s">
        <v>989</v>
      </c>
      <c r="E407" t="s">
        <v>10</v>
      </c>
      <c r="F407" t="s">
        <v>990</v>
      </c>
      <c r="G407" t="s">
        <v>396</v>
      </c>
      <c r="H407" t="str">
        <f>_xlfn.IFNA(+VLOOKUP(G407,Agrupacion!A:B,2,0),"")</f>
        <v>AGRUPADOR 3</v>
      </c>
      <c r="I407" t="str">
        <f>_xlfn.IFNA(+VLOOKUP(G407,Agrupacion!A:C,3,0),"")</f>
        <v>CABA SUR II</v>
      </c>
      <c r="J407" t="s">
        <v>15</v>
      </c>
      <c r="K407" t="s">
        <v>991</v>
      </c>
      <c r="M407" t="s">
        <v>8</v>
      </c>
    </row>
    <row r="408" spans="1:13" x14ac:dyDescent="0.2">
      <c r="A408">
        <v>423</v>
      </c>
      <c r="B408" t="s">
        <v>2208</v>
      </c>
      <c r="C408">
        <v>1</v>
      </c>
      <c r="D408" t="s">
        <v>992</v>
      </c>
      <c r="E408" t="s">
        <v>10</v>
      </c>
      <c r="F408" t="s">
        <v>993</v>
      </c>
      <c r="G408" t="s">
        <v>170</v>
      </c>
      <c r="H408" t="str">
        <f>_xlfn.IFNA(+VLOOKUP(G408,Agrupacion!A:B,2,0),"")</f>
        <v>AGRUPADOR 2</v>
      </c>
      <c r="I408" t="str">
        <f>_xlfn.IFNA(+VLOOKUP(G408,Agrupacion!A:C,3,0),"")</f>
        <v>CABA SUR</v>
      </c>
      <c r="J408" t="s">
        <v>994</v>
      </c>
      <c r="K408" t="s">
        <v>995</v>
      </c>
      <c r="M408" t="s">
        <v>8</v>
      </c>
    </row>
    <row r="409" spans="1:13" x14ac:dyDescent="0.2">
      <c r="A409">
        <v>424</v>
      </c>
      <c r="B409" t="s">
        <v>2209</v>
      </c>
      <c r="C409">
        <v>1</v>
      </c>
      <c r="D409" t="s">
        <v>996</v>
      </c>
      <c r="E409" t="s">
        <v>10</v>
      </c>
      <c r="F409" t="s">
        <v>997</v>
      </c>
      <c r="G409" t="s">
        <v>396</v>
      </c>
      <c r="H409" t="str">
        <f>_xlfn.IFNA(+VLOOKUP(G409,Agrupacion!A:B,2,0),"")</f>
        <v>AGRUPADOR 3</v>
      </c>
      <c r="I409" t="str">
        <f>_xlfn.IFNA(+VLOOKUP(G409,Agrupacion!A:C,3,0),"")</f>
        <v>CABA SUR II</v>
      </c>
      <c r="K409" t="s">
        <v>998</v>
      </c>
      <c r="M409" t="s">
        <v>8</v>
      </c>
    </row>
    <row r="410" spans="1:13" x14ac:dyDescent="0.2">
      <c r="A410">
        <v>227</v>
      </c>
      <c r="B410" t="s">
        <v>2245</v>
      </c>
      <c r="C410">
        <v>1</v>
      </c>
      <c r="D410" t="s">
        <v>413</v>
      </c>
      <c r="E410" t="s">
        <v>10</v>
      </c>
      <c r="F410" t="s">
        <v>414</v>
      </c>
      <c r="G410" s="1" t="s">
        <v>2782</v>
      </c>
      <c r="H410" t="str">
        <f>_xlfn.IFNA(+VLOOKUP(G410,Agrupacion!A:B,2,0),"")</f>
        <v>AGRUPADOR 1</v>
      </c>
      <c r="I410" t="str">
        <f>_xlfn.IFNA(+VLOOKUP(G410,Agrupacion!A:C,3,0),"")</f>
        <v>CABA NORTE</v>
      </c>
      <c r="M410" t="s">
        <v>8</v>
      </c>
    </row>
    <row r="411" spans="1:13" x14ac:dyDescent="0.2">
      <c r="A411">
        <v>427</v>
      </c>
      <c r="B411" t="s">
        <v>2211</v>
      </c>
      <c r="C411">
        <v>1</v>
      </c>
      <c r="D411" t="s">
        <v>1003</v>
      </c>
      <c r="E411" t="s">
        <v>10</v>
      </c>
      <c r="F411" t="s">
        <v>1004</v>
      </c>
      <c r="G411" t="s">
        <v>48</v>
      </c>
      <c r="H411" t="str">
        <f>_xlfn.IFNA(+VLOOKUP(G411,Agrupacion!A:B,2,0),"")</f>
        <v>AGRUPADOR 2</v>
      </c>
      <c r="I411" t="str">
        <f>_xlfn.IFNA(+VLOOKUP(G411,Agrupacion!A:C,3,0),"")</f>
        <v>CABA SUR</v>
      </c>
      <c r="J411" t="s">
        <v>15</v>
      </c>
      <c r="K411" t="s">
        <v>1005</v>
      </c>
      <c r="M411" t="s">
        <v>8</v>
      </c>
    </row>
    <row r="412" spans="1:13" x14ac:dyDescent="0.2">
      <c r="A412">
        <v>428</v>
      </c>
      <c r="B412" t="s">
        <v>2212</v>
      </c>
      <c r="C412">
        <v>1</v>
      </c>
      <c r="D412" t="s">
        <v>1006</v>
      </c>
      <c r="E412" t="s">
        <v>10</v>
      </c>
      <c r="F412" t="s">
        <v>1007</v>
      </c>
      <c r="G412" t="s">
        <v>170</v>
      </c>
      <c r="H412" t="str">
        <f>_xlfn.IFNA(+VLOOKUP(G412,Agrupacion!A:B,2,0),"")</f>
        <v>AGRUPADOR 2</v>
      </c>
      <c r="I412" t="str">
        <f>_xlfn.IFNA(+VLOOKUP(G412,Agrupacion!A:C,3,0),"")</f>
        <v>CABA SUR</v>
      </c>
      <c r="J412" t="s">
        <v>282</v>
      </c>
      <c r="K412" t="s">
        <v>1008</v>
      </c>
      <c r="M412" t="s">
        <v>8</v>
      </c>
    </row>
    <row r="413" spans="1:13" x14ac:dyDescent="0.2">
      <c r="A413">
        <v>429</v>
      </c>
      <c r="B413" t="s">
        <v>2213</v>
      </c>
      <c r="C413">
        <v>1</v>
      </c>
      <c r="D413" t="s">
        <v>1009</v>
      </c>
      <c r="E413" t="s">
        <v>10</v>
      </c>
      <c r="F413" t="s">
        <v>1010</v>
      </c>
      <c r="G413" t="s">
        <v>170</v>
      </c>
      <c r="H413" t="str">
        <f>_xlfn.IFNA(+VLOOKUP(G413,Agrupacion!A:B,2,0),"")</f>
        <v>AGRUPADOR 2</v>
      </c>
      <c r="I413" t="str">
        <f>_xlfn.IFNA(+VLOOKUP(G413,Agrupacion!A:C,3,0),"")</f>
        <v>CABA SUR</v>
      </c>
      <c r="K413" t="s">
        <v>1011</v>
      </c>
      <c r="M413" t="s">
        <v>8</v>
      </c>
    </row>
    <row r="414" spans="1:13" x14ac:dyDescent="0.2">
      <c r="A414">
        <v>430</v>
      </c>
      <c r="B414" t="s">
        <v>2214</v>
      </c>
      <c r="C414">
        <v>1</v>
      </c>
      <c r="D414" t="s">
        <v>1014</v>
      </c>
      <c r="E414" t="s">
        <v>10</v>
      </c>
      <c r="F414" t="s">
        <v>1015</v>
      </c>
      <c r="G414" t="s">
        <v>396</v>
      </c>
      <c r="H414" t="str">
        <f>_xlfn.IFNA(+VLOOKUP(G414,Agrupacion!A:B,2,0),"")</f>
        <v>AGRUPADOR 3</v>
      </c>
      <c r="I414" t="str">
        <f>_xlfn.IFNA(+VLOOKUP(G414,Agrupacion!A:C,3,0),"")</f>
        <v>CABA SUR II</v>
      </c>
      <c r="J414" t="s">
        <v>15</v>
      </c>
      <c r="K414" t="s">
        <v>1016</v>
      </c>
      <c r="M414" t="s">
        <v>8</v>
      </c>
    </row>
    <row r="415" spans="1:13" x14ac:dyDescent="0.2">
      <c r="A415">
        <v>431</v>
      </c>
      <c r="B415" t="s">
        <v>2215</v>
      </c>
      <c r="C415">
        <v>1</v>
      </c>
      <c r="D415" t="s">
        <v>1017</v>
      </c>
      <c r="E415" t="s">
        <v>10</v>
      </c>
      <c r="F415" t="s">
        <v>111</v>
      </c>
      <c r="G415" t="s">
        <v>396</v>
      </c>
      <c r="H415" t="str">
        <f>_xlfn.IFNA(+VLOOKUP(G415,Agrupacion!A:B,2,0),"")</f>
        <v>AGRUPADOR 3</v>
      </c>
      <c r="I415" t="str">
        <f>_xlfn.IFNA(+VLOOKUP(G415,Agrupacion!A:C,3,0),"")</f>
        <v>CABA SUR II</v>
      </c>
      <c r="J415" t="s">
        <v>15</v>
      </c>
      <c r="K415" t="s">
        <v>112</v>
      </c>
      <c r="L415" t="s">
        <v>1018</v>
      </c>
      <c r="M415" t="s">
        <v>8</v>
      </c>
    </row>
    <row r="416" spans="1:13" x14ac:dyDescent="0.2">
      <c r="A416">
        <v>432</v>
      </c>
      <c r="B416" t="s">
        <v>2216</v>
      </c>
      <c r="C416">
        <v>1</v>
      </c>
      <c r="D416" t="s">
        <v>1019</v>
      </c>
      <c r="E416" t="s">
        <v>10</v>
      </c>
      <c r="F416" t="s">
        <v>590</v>
      </c>
      <c r="G416" t="s">
        <v>48</v>
      </c>
      <c r="H416" t="str">
        <f>_xlfn.IFNA(+VLOOKUP(G416,Agrupacion!A:B,2,0),"")</f>
        <v>AGRUPADOR 2</v>
      </c>
      <c r="I416" t="str">
        <f>_xlfn.IFNA(+VLOOKUP(G416,Agrupacion!A:C,3,0),"")</f>
        <v>CABA SUR</v>
      </c>
      <c r="J416" t="s">
        <v>15</v>
      </c>
      <c r="K416" t="s">
        <v>1020</v>
      </c>
      <c r="L416" t="s">
        <v>1021</v>
      </c>
      <c r="M416" t="s">
        <v>8</v>
      </c>
    </row>
    <row r="417" spans="1:13" x14ac:dyDescent="0.2">
      <c r="A417">
        <v>433</v>
      </c>
      <c r="B417" t="s">
        <v>2217</v>
      </c>
      <c r="C417">
        <v>1</v>
      </c>
      <c r="D417" t="s">
        <v>1022</v>
      </c>
      <c r="E417" t="s">
        <v>10</v>
      </c>
      <c r="F417" t="s">
        <v>214</v>
      </c>
      <c r="G417" t="s">
        <v>396</v>
      </c>
      <c r="H417" t="str">
        <f>_xlfn.IFNA(+VLOOKUP(G417,Agrupacion!A:B,2,0),"")</f>
        <v>AGRUPADOR 3</v>
      </c>
      <c r="I417" t="str">
        <f>_xlfn.IFNA(+VLOOKUP(G417,Agrupacion!A:C,3,0),"")</f>
        <v>CABA SUR II</v>
      </c>
      <c r="J417" t="s">
        <v>15</v>
      </c>
      <c r="K417" t="s">
        <v>980</v>
      </c>
      <c r="L417" t="s">
        <v>1023</v>
      </c>
      <c r="M417" t="s">
        <v>8</v>
      </c>
    </row>
    <row r="418" spans="1:13" x14ac:dyDescent="0.2">
      <c r="A418">
        <v>434</v>
      </c>
      <c r="B418" t="s">
        <v>2218</v>
      </c>
      <c r="C418">
        <v>1</v>
      </c>
      <c r="D418" t="s">
        <v>1024</v>
      </c>
      <c r="E418" t="s">
        <v>10</v>
      </c>
      <c r="F418" t="s">
        <v>590</v>
      </c>
      <c r="G418" t="s">
        <v>249</v>
      </c>
      <c r="H418" t="str">
        <f>_xlfn.IFNA(+VLOOKUP(G418,Agrupacion!A:B,2,0),"")</f>
        <v>AGRUPADOR 2</v>
      </c>
      <c r="I418" t="str">
        <f>_xlfn.IFNA(+VLOOKUP(G418,Agrupacion!A:C,3,0),"")</f>
        <v>CABA SUR</v>
      </c>
      <c r="K418" t="s">
        <v>1025</v>
      </c>
      <c r="L418" t="s">
        <v>1026</v>
      </c>
      <c r="M418" t="s">
        <v>8</v>
      </c>
    </row>
    <row r="419" spans="1:13" x14ac:dyDescent="0.2">
      <c r="A419">
        <v>435</v>
      </c>
      <c r="B419" t="s">
        <v>2219</v>
      </c>
      <c r="C419">
        <v>1</v>
      </c>
      <c r="D419" t="s">
        <v>1027</v>
      </c>
      <c r="E419" t="s">
        <v>10</v>
      </c>
      <c r="F419" t="s">
        <v>1028</v>
      </c>
      <c r="G419" t="s">
        <v>170</v>
      </c>
      <c r="H419" t="str">
        <f>_xlfn.IFNA(+VLOOKUP(G419,Agrupacion!A:B,2,0),"")</f>
        <v>AGRUPADOR 2</v>
      </c>
      <c r="I419" t="str">
        <f>_xlfn.IFNA(+VLOOKUP(G419,Agrupacion!A:C,3,0),"")</f>
        <v>CABA SUR</v>
      </c>
      <c r="K419" t="s">
        <v>1029</v>
      </c>
      <c r="M419" t="s">
        <v>8</v>
      </c>
    </row>
    <row r="420" spans="1:13" x14ac:dyDescent="0.2">
      <c r="A420">
        <v>436</v>
      </c>
      <c r="B420" t="s">
        <v>2220</v>
      </c>
      <c r="C420">
        <v>1</v>
      </c>
      <c r="D420" t="s">
        <v>1030</v>
      </c>
      <c r="F420" t="s">
        <v>1031</v>
      </c>
      <c r="G420" t="s">
        <v>201</v>
      </c>
      <c r="H420" t="str">
        <f>_xlfn.IFNA(+VLOOKUP(G420,Agrupacion!A:B,2,0),"")</f>
        <v>AGRUPADOR 2</v>
      </c>
      <c r="I420" t="str">
        <f>_xlfn.IFNA(+VLOOKUP(G420,Agrupacion!A:C,3,0),"")</f>
        <v>CABA SUR</v>
      </c>
      <c r="K420" t="s">
        <v>1032</v>
      </c>
      <c r="M420" t="s">
        <v>8</v>
      </c>
    </row>
    <row r="421" spans="1:13" x14ac:dyDescent="0.2">
      <c r="A421">
        <v>437</v>
      </c>
      <c r="B421" t="s">
        <v>2221</v>
      </c>
      <c r="C421">
        <v>1</v>
      </c>
      <c r="D421" t="s">
        <v>1033</v>
      </c>
      <c r="E421" t="s">
        <v>10</v>
      </c>
      <c r="F421" t="s">
        <v>1034</v>
      </c>
      <c r="G421" t="s">
        <v>1192</v>
      </c>
      <c r="H421" t="str">
        <f>_xlfn.IFNA(+VLOOKUP(G421,Agrupacion!A:B,2,0),"")</f>
        <v>AGRUPADOR 3</v>
      </c>
      <c r="I421" t="str">
        <f>_xlfn.IFNA(+VLOOKUP(G421,Agrupacion!A:C,3,0),"")</f>
        <v>CABA SUR II</v>
      </c>
      <c r="K421" t="s">
        <v>1035</v>
      </c>
      <c r="M421" t="s">
        <v>8</v>
      </c>
    </row>
    <row r="422" spans="1:13" x14ac:dyDescent="0.2">
      <c r="A422">
        <v>438</v>
      </c>
      <c r="B422" t="s">
        <v>2222</v>
      </c>
      <c r="C422">
        <v>1</v>
      </c>
      <c r="D422" t="s">
        <v>1036</v>
      </c>
      <c r="E422" t="s">
        <v>96</v>
      </c>
      <c r="F422" t="s">
        <v>1037</v>
      </c>
      <c r="G422" t="s">
        <v>249</v>
      </c>
      <c r="H422" t="str">
        <f>_xlfn.IFNA(+VLOOKUP(G422,Agrupacion!A:B,2,0),"")</f>
        <v>AGRUPADOR 2</v>
      </c>
      <c r="I422" t="str">
        <f>_xlfn.IFNA(+VLOOKUP(G422,Agrupacion!A:C,3,0),"")</f>
        <v>CABA SUR</v>
      </c>
      <c r="J422" t="s">
        <v>15</v>
      </c>
      <c r="K422" t="s">
        <v>1038</v>
      </c>
      <c r="L422" t="s">
        <v>1039</v>
      </c>
      <c r="M422" t="s">
        <v>8</v>
      </c>
    </row>
    <row r="423" spans="1:13" x14ac:dyDescent="0.2">
      <c r="A423">
        <v>439</v>
      </c>
      <c r="B423" t="s">
        <v>2049</v>
      </c>
      <c r="C423">
        <v>1</v>
      </c>
      <c r="D423" t="s">
        <v>1040</v>
      </c>
      <c r="E423" t="s">
        <v>10</v>
      </c>
      <c r="F423" t="s">
        <v>61</v>
      </c>
      <c r="G423" t="s">
        <v>396</v>
      </c>
      <c r="H423" t="str">
        <f>_xlfn.IFNA(+VLOOKUP(G423,Agrupacion!A:B,2,0),"")</f>
        <v>AGRUPADOR 3</v>
      </c>
      <c r="I423" t="str">
        <f>_xlfn.IFNA(+VLOOKUP(G423,Agrupacion!A:C,3,0),"")</f>
        <v>CABA SUR II</v>
      </c>
      <c r="J423" t="s">
        <v>15</v>
      </c>
      <c r="M423" t="s">
        <v>8</v>
      </c>
    </row>
    <row r="424" spans="1:13" x14ac:dyDescent="0.2">
      <c r="A424">
        <v>440</v>
      </c>
      <c r="B424" t="s">
        <v>2050</v>
      </c>
      <c r="C424">
        <v>1</v>
      </c>
      <c r="D424" t="s">
        <v>1044</v>
      </c>
      <c r="E424" t="s">
        <v>10</v>
      </c>
      <c r="F424" t="s">
        <v>1045</v>
      </c>
      <c r="G424" t="s">
        <v>396</v>
      </c>
      <c r="H424" t="str">
        <f>_xlfn.IFNA(+VLOOKUP(G424,Agrupacion!A:B,2,0),"")</f>
        <v>AGRUPADOR 3</v>
      </c>
      <c r="I424" t="str">
        <f>_xlfn.IFNA(+VLOOKUP(G424,Agrupacion!A:C,3,0),"")</f>
        <v>CABA SUR II</v>
      </c>
      <c r="J424" t="s">
        <v>15</v>
      </c>
      <c r="K424" t="s">
        <v>1046</v>
      </c>
      <c r="M424" t="s">
        <v>8</v>
      </c>
    </row>
    <row r="425" spans="1:13" x14ac:dyDescent="0.2">
      <c r="A425">
        <v>441</v>
      </c>
      <c r="B425" t="s">
        <v>2051</v>
      </c>
      <c r="C425">
        <v>1</v>
      </c>
      <c r="D425" t="s">
        <v>1047</v>
      </c>
      <c r="F425" t="s">
        <v>1037</v>
      </c>
      <c r="G425" t="s">
        <v>249</v>
      </c>
      <c r="H425" t="str">
        <f>_xlfn.IFNA(+VLOOKUP(G425,Agrupacion!A:B,2,0),"")</f>
        <v>AGRUPADOR 2</v>
      </c>
      <c r="I425" t="str">
        <f>_xlfn.IFNA(+VLOOKUP(G425,Agrupacion!A:C,3,0),"")</f>
        <v>CABA SUR</v>
      </c>
      <c r="M425" t="s">
        <v>8</v>
      </c>
    </row>
    <row r="426" spans="1:13" x14ac:dyDescent="0.2">
      <c r="A426">
        <v>442</v>
      </c>
      <c r="B426" t="s">
        <v>2052</v>
      </c>
      <c r="C426">
        <v>1</v>
      </c>
      <c r="D426" t="s">
        <v>1048</v>
      </c>
      <c r="E426" t="s">
        <v>10</v>
      </c>
      <c r="F426" t="s">
        <v>1049</v>
      </c>
      <c r="G426" t="s">
        <v>2699</v>
      </c>
      <c r="H426" t="str">
        <f>_xlfn.IFNA(+VLOOKUP(G426,Agrupacion!A:B,2,0),"")</f>
        <v>AGRUPADOR 2</v>
      </c>
      <c r="I426" t="str">
        <f>_xlfn.IFNA(+VLOOKUP(G426,Agrupacion!A:C,3,0),"")</f>
        <v>CABA SUR</v>
      </c>
      <c r="J426" t="s">
        <v>1050</v>
      </c>
      <c r="K426" t="s">
        <v>1051</v>
      </c>
      <c r="M426" t="s">
        <v>8</v>
      </c>
    </row>
    <row r="427" spans="1:13" x14ac:dyDescent="0.2">
      <c r="A427">
        <v>443</v>
      </c>
      <c r="B427" t="s">
        <v>2053</v>
      </c>
      <c r="C427">
        <v>1</v>
      </c>
      <c r="D427" t="s">
        <v>1052</v>
      </c>
      <c r="E427" t="s">
        <v>10</v>
      </c>
      <c r="F427" t="s">
        <v>1010</v>
      </c>
      <c r="G427" t="s">
        <v>249</v>
      </c>
      <c r="H427" t="str">
        <f>_xlfn.IFNA(+VLOOKUP(G427,Agrupacion!A:B,2,0),"")</f>
        <v>AGRUPADOR 2</v>
      </c>
      <c r="I427" t="str">
        <f>_xlfn.IFNA(+VLOOKUP(G427,Agrupacion!A:C,3,0),"")</f>
        <v>CABA SUR</v>
      </c>
      <c r="K427" t="s">
        <v>477</v>
      </c>
      <c r="L427" t="s">
        <v>1053</v>
      </c>
      <c r="M427" t="s">
        <v>8</v>
      </c>
    </row>
    <row r="428" spans="1:13" x14ac:dyDescent="0.2">
      <c r="A428">
        <v>444</v>
      </c>
      <c r="B428" t="s">
        <v>2054</v>
      </c>
      <c r="C428">
        <v>1</v>
      </c>
      <c r="D428" t="s">
        <v>1054</v>
      </c>
      <c r="E428" t="s">
        <v>10</v>
      </c>
      <c r="F428" t="s">
        <v>1055</v>
      </c>
      <c r="G428" t="s">
        <v>108</v>
      </c>
      <c r="H428" t="str">
        <f>_xlfn.IFNA(+VLOOKUP(G428,Agrupacion!A:B,2,0),"")</f>
        <v>AGRUPADOR 1</v>
      </c>
      <c r="I428" t="str">
        <f>_xlfn.IFNA(+VLOOKUP(G428,Agrupacion!A:C,3,0),"")</f>
        <v>CABA NORTE</v>
      </c>
      <c r="K428" t="s">
        <v>1056</v>
      </c>
      <c r="M428" t="s">
        <v>8</v>
      </c>
    </row>
    <row r="429" spans="1:13" x14ac:dyDescent="0.2">
      <c r="A429">
        <v>445</v>
      </c>
      <c r="B429" t="s">
        <v>2055</v>
      </c>
      <c r="C429">
        <v>1</v>
      </c>
      <c r="D429" t="s">
        <v>1057</v>
      </c>
      <c r="E429" t="s">
        <v>10</v>
      </c>
      <c r="F429" t="s">
        <v>1058</v>
      </c>
      <c r="G429" t="s">
        <v>396</v>
      </c>
      <c r="H429" t="str">
        <f>_xlfn.IFNA(+VLOOKUP(G429,Agrupacion!A:B,2,0),"")</f>
        <v>AGRUPADOR 3</v>
      </c>
      <c r="I429" t="str">
        <f>_xlfn.IFNA(+VLOOKUP(G429,Agrupacion!A:C,3,0),"")</f>
        <v>CABA SUR II</v>
      </c>
      <c r="J429" t="s">
        <v>15</v>
      </c>
      <c r="K429" t="s">
        <v>1059</v>
      </c>
      <c r="M429" t="s">
        <v>8</v>
      </c>
    </row>
    <row r="430" spans="1:13" x14ac:dyDescent="0.2">
      <c r="A430">
        <v>446</v>
      </c>
      <c r="B430" t="s">
        <v>2056</v>
      </c>
      <c r="C430">
        <v>1</v>
      </c>
      <c r="D430" t="s">
        <v>1060</v>
      </c>
      <c r="E430" t="s">
        <v>10</v>
      </c>
      <c r="F430" t="s">
        <v>1061</v>
      </c>
      <c r="G430" t="s">
        <v>249</v>
      </c>
      <c r="H430" t="str">
        <f>_xlfn.IFNA(+VLOOKUP(G430,Agrupacion!A:B,2,0),"")</f>
        <v>AGRUPADOR 2</v>
      </c>
      <c r="I430" t="str">
        <f>_xlfn.IFNA(+VLOOKUP(G430,Agrupacion!A:C,3,0),"")</f>
        <v>CABA SUR</v>
      </c>
      <c r="J430" t="s">
        <v>15</v>
      </c>
      <c r="K430" t="s">
        <v>1062</v>
      </c>
      <c r="M430" t="s">
        <v>8</v>
      </c>
    </row>
    <row r="431" spans="1:13" x14ac:dyDescent="0.2">
      <c r="A431">
        <v>447</v>
      </c>
      <c r="B431" t="s">
        <v>2057</v>
      </c>
      <c r="C431">
        <v>1</v>
      </c>
      <c r="D431" t="s">
        <v>1063</v>
      </c>
      <c r="E431" t="s">
        <v>10</v>
      </c>
      <c r="F431" t="s">
        <v>1064</v>
      </c>
      <c r="G431" t="s">
        <v>466</v>
      </c>
      <c r="H431" t="str">
        <f>_xlfn.IFNA(+VLOOKUP(G431,Agrupacion!A:B,2,0),"")</f>
        <v>AGRUPADOR 1</v>
      </c>
      <c r="I431" t="str">
        <f>_xlfn.IFNA(+VLOOKUP(G431,Agrupacion!A:C,3,0),"")</f>
        <v>CABA NORTE</v>
      </c>
      <c r="J431" t="s">
        <v>132</v>
      </c>
      <c r="K431" t="s">
        <v>1065</v>
      </c>
      <c r="M431" t="s">
        <v>8</v>
      </c>
    </row>
    <row r="432" spans="1:13" x14ac:dyDescent="0.2">
      <c r="A432">
        <v>449</v>
      </c>
      <c r="B432" t="s">
        <v>2058</v>
      </c>
      <c r="C432">
        <v>1</v>
      </c>
      <c r="D432" t="s">
        <v>1066</v>
      </c>
      <c r="F432" t="s">
        <v>1067</v>
      </c>
      <c r="G432" t="s">
        <v>201</v>
      </c>
      <c r="H432" t="str">
        <f>_xlfn.IFNA(+VLOOKUP(G432,Agrupacion!A:B,2,0),"")</f>
        <v>AGRUPADOR 2</v>
      </c>
      <c r="I432" t="str">
        <f>_xlfn.IFNA(+VLOOKUP(G432,Agrupacion!A:C,3,0),"")</f>
        <v>CABA SUR</v>
      </c>
      <c r="K432" t="s">
        <v>1068</v>
      </c>
      <c r="M432" t="s">
        <v>8</v>
      </c>
    </row>
    <row r="433" spans="1:13" x14ac:dyDescent="0.2">
      <c r="A433">
        <v>450</v>
      </c>
      <c r="B433" t="s">
        <v>2059</v>
      </c>
      <c r="C433">
        <v>1</v>
      </c>
      <c r="D433" t="s">
        <v>1069</v>
      </c>
      <c r="E433" t="s">
        <v>10</v>
      </c>
      <c r="F433" t="s">
        <v>1070</v>
      </c>
      <c r="G433" t="s">
        <v>170</v>
      </c>
      <c r="H433" t="str">
        <f>_xlfn.IFNA(+VLOOKUP(G433,Agrupacion!A:B,2,0),"")</f>
        <v>AGRUPADOR 2</v>
      </c>
      <c r="I433" t="str">
        <f>_xlfn.IFNA(+VLOOKUP(G433,Agrupacion!A:C,3,0),"")</f>
        <v>CABA SUR</v>
      </c>
      <c r="J433" t="s">
        <v>262</v>
      </c>
      <c r="K433" t="s">
        <v>1071</v>
      </c>
      <c r="M433" t="s">
        <v>8</v>
      </c>
    </row>
    <row r="434" spans="1:13" x14ac:dyDescent="0.2">
      <c r="A434">
        <v>451</v>
      </c>
      <c r="B434" t="s">
        <v>2060</v>
      </c>
      <c r="C434">
        <v>1</v>
      </c>
      <c r="D434" t="s">
        <v>1072</v>
      </c>
      <c r="E434" t="s">
        <v>10</v>
      </c>
      <c r="F434" t="s">
        <v>1073</v>
      </c>
      <c r="G434" t="s">
        <v>201</v>
      </c>
      <c r="H434" t="str">
        <f>_xlfn.IFNA(+VLOOKUP(G434,Agrupacion!A:B,2,0),"")</f>
        <v>AGRUPADOR 2</v>
      </c>
      <c r="I434" t="str">
        <f>_xlfn.IFNA(+VLOOKUP(G434,Agrupacion!A:C,3,0),"")</f>
        <v>CABA SUR</v>
      </c>
      <c r="J434" t="s">
        <v>15</v>
      </c>
      <c r="K434" t="s">
        <v>1074</v>
      </c>
      <c r="M434" t="s">
        <v>8</v>
      </c>
    </row>
    <row r="435" spans="1:13" x14ac:dyDescent="0.2">
      <c r="A435">
        <v>452</v>
      </c>
      <c r="B435" t="s">
        <v>2061</v>
      </c>
      <c r="C435">
        <v>1</v>
      </c>
      <c r="D435" t="s">
        <v>1075</v>
      </c>
      <c r="E435" t="s">
        <v>10</v>
      </c>
      <c r="F435" t="s">
        <v>1076</v>
      </c>
      <c r="G435" t="s">
        <v>170</v>
      </c>
      <c r="H435" t="str">
        <f>_xlfn.IFNA(+VLOOKUP(G435,Agrupacion!A:B,2,0),"")</f>
        <v>AGRUPADOR 2</v>
      </c>
      <c r="I435" t="str">
        <f>_xlfn.IFNA(+VLOOKUP(G435,Agrupacion!A:C,3,0),"")</f>
        <v>CABA SUR</v>
      </c>
      <c r="J435" t="s">
        <v>160</v>
      </c>
      <c r="K435" t="s">
        <v>1077</v>
      </c>
      <c r="M435" t="s">
        <v>8</v>
      </c>
    </row>
    <row r="436" spans="1:13" x14ac:dyDescent="0.2">
      <c r="A436">
        <v>453</v>
      </c>
      <c r="B436" t="s">
        <v>2062</v>
      </c>
      <c r="C436">
        <v>1</v>
      </c>
      <c r="D436" t="s">
        <v>1078</v>
      </c>
      <c r="E436" t="s">
        <v>10</v>
      </c>
      <c r="F436" t="s">
        <v>1079</v>
      </c>
      <c r="G436" t="s">
        <v>48</v>
      </c>
      <c r="H436" t="str">
        <f>_xlfn.IFNA(+VLOOKUP(G436,Agrupacion!A:B,2,0),"")</f>
        <v>AGRUPADOR 2</v>
      </c>
      <c r="I436" t="str">
        <f>_xlfn.IFNA(+VLOOKUP(G436,Agrupacion!A:C,3,0),"")</f>
        <v>CABA SUR</v>
      </c>
      <c r="J436" t="s">
        <v>15</v>
      </c>
      <c r="K436" t="s">
        <v>1080</v>
      </c>
      <c r="M436" t="s">
        <v>8</v>
      </c>
    </row>
    <row r="437" spans="1:13" x14ac:dyDescent="0.2">
      <c r="A437">
        <v>454</v>
      </c>
      <c r="B437" t="s">
        <v>2063</v>
      </c>
      <c r="C437">
        <v>1</v>
      </c>
      <c r="D437" t="s">
        <v>1081</v>
      </c>
      <c r="E437" t="s">
        <v>10</v>
      </c>
      <c r="F437" t="s">
        <v>61</v>
      </c>
      <c r="G437" t="s">
        <v>396</v>
      </c>
      <c r="H437" t="str">
        <f>_xlfn.IFNA(+VLOOKUP(G437,Agrupacion!A:B,2,0),"")</f>
        <v>AGRUPADOR 3</v>
      </c>
      <c r="I437" t="str">
        <f>_xlfn.IFNA(+VLOOKUP(G437,Agrupacion!A:C,3,0),"")</f>
        <v>CABA SUR II</v>
      </c>
      <c r="K437" t="s">
        <v>1082</v>
      </c>
      <c r="M437" t="s">
        <v>8</v>
      </c>
    </row>
    <row r="438" spans="1:13" x14ac:dyDescent="0.2">
      <c r="A438">
        <v>455</v>
      </c>
      <c r="B438" t="s">
        <v>2064</v>
      </c>
      <c r="C438">
        <v>1</v>
      </c>
      <c r="D438" t="s">
        <v>1083</v>
      </c>
      <c r="E438" t="s">
        <v>10</v>
      </c>
      <c r="F438" t="s">
        <v>1084</v>
      </c>
      <c r="G438" t="s">
        <v>396</v>
      </c>
      <c r="H438" t="str">
        <f>_xlfn.IFNA(+VLOOKUP(G438,Agrupacion!A:B,2,0),"")</f>
        <v>AGRUPADOR 3</v>
      </c>
      <c r="I438" t="str">
        <f>_xlfn.IFNA(+VLOOKUP(G438,Agrupacion!A:C,3,0),"")</f>
        <v>CABA SUR II</v>
      </c>
      <c r="K438" t="s">
        <v>1085</v>
      </c>
      <c r="M438" t="s">
        <v>8</v>
      </c>
    </row>
    <row r="439" spans="1:13" x14ac:dyDescent="0.2">
      <c r="A439">
        <v>456</v>
      </c>
      <c r="B439" t="s">
        <v>2065</v>
      </c>
      <c r="C439">
        <v>1</v>
      </c>
      <c r="D439" t="s">
        <v>1086</v>
      </c>
      <c r="E439" t="s">
        <v>10</v>
      </c>
      <c r="F439" t="s">
        <v>1087</v>
      </c>
      <c r="G439" t="s">
        <v>170</v>
      </c>
      <c r="H439" t="str">
        <f>_xlfn.IFNA(+VLOOKUP(G439,Agrupacion!A:B,2,0),"")</f>
        <v>AGRUPADOR 2</v>
      </c>
      <c r="I439" t="str">
        <f>_xlfn.IFNA(+VLOOKUP(G439,Agrupacion!A:C,3,0),"")</f>
        <v>CABA SUR</v>
      </c>
      <c r="K439" t="s">
        <v>1008</v>
      </c>
      <c r="M439" t="s">
        <v>8</v>
      </c>
    </row>
    <row r="440" spans="1:13" x14ac:dyDescent="0.2">
      <c r="A440">
        <v>457</v>
      </c>
      <c r="B440" t="s">
        <v>2066</v>
      </c>
      <c r="C440">
        <v>1</v>
      </c>
      <c r="D440" t="s">
        <v>1088</v>
      </c>
      <c r="E440" t="s">
        <v>96</v>
      </c>
      <c r="F440" t="s">
        <v>1089</v>
      </c>
      <c r="G440" t="s">
        <v>224</v>
      </c>
      <c r="H440" t="str">
        <f>_xlfn.IFNA(+VLOOKUP(G440,Agrupacion!A:B,2,0),"")</f>
        <v>AGRUPADOR 3</v>
      </c>
      <c r="I440" t="str">
        <f>_xlfn.IFNA(+VLOOKUP(G440,Agrupacion!A:C,3,0),"")</f>
        <v>CABA SUR II</v>
      </c>
      <c r="K440" t="s">
        <v>1090</v>
      </c>
      <c r="M440" t="s">
        <v>8</v>
      </c>
    </row>
    <row r="441" spans="1:13" x14ac:dyDescent="0.2">
      <c r="A441">
        <v>458</v>
      </c>
      <c r="B441" t="s">
        <v>2067</v>
      </c>
      <c r="C441">
        <v>1</v>
      </c>
      <c r="D441" t="s">
        <v>1091</v>
      </c>
      <c r="E441" t="s">
        <v>10</v>
      </c>
      <c r="F441" t="s">
        <v>1092</v>
      </c>
      <c r="G441" t="s">
        <v>396</v>
      </c>
      <c r="H441" t="str">
        <f>_xlfn.IFNA(+VLOOKUP(G441,Agrupacion!A:B,2,0),"")</f>
        <v>AGRUPADOR 3</v>
      </c>
      <c r="I441" t="str">
        <f>_xlfn.IFNA(+VLOOKUP(G441,Agrupacion!A:C,3,0),"")</f>
        <v>CABA SUR II</v>
      </c>
      <c r="J441" t="s">
        <v>15</v>
      </c>
      <c r="K441" t="s">
        <v>463</v>
      </c>
      <c r="M441" t="s">
        <v>8</v>
      </c>
    </row>
    <row r="442" spans="1:13" x14ac:dyDescent="0.2">
      <c r="A442">
        <v>459</v>
      </c>
      <c r="B442" t="s">
        <v>2068</v>
      </c>
      <c r="C442">
        <v>1</v>
      </c>
      <c r="D442" t="s">
        <v>1093</v>
      </c>
      <c r="E442" t="s">
        <v>10</v>
      </c>
      <c r="F442" t="s">
        <v>1094</v>
      </c>
      <c r="G442" t="s">
        <v>48</v>
      </c>
      <c r="H442" t="str">
        <f>_xlfn.IFNA(+VLOOKUP(G442,Agrupacion!A:B,2,0),"")</f>
        <v>AGRUPADOR 2</v>
      </c>
      <c r="I442" t="str">
        <f>_xlfn.IFNA(+VLOOKUP(G442,Agrupacion!A:C,3,0),"")</f>
        <v>CABA SUR</v>
      </c>
      <c r="K442" t="s">
        <v>952</v>
      </c>
      <c r="M442" t="s">
        <v>8</v>
      </c>
    </row>
    <row r="443" spans="1:13" x14ac:dyDescent="0.2">
      <c r="A443">
        <v>461</v>
      </c>
      <c r="B443" t="s">
        <v>2069</v>
      </c>
      <c r="C443">
        <v>1</v>
      </c>
      <c r="D443" t="s">
        <v>1097</v>
      </c>
      <c r="E443" t="s">
        <v>10</v>
      </c>
      <c r="F443" t="s">
        <v>845</v>
      </c>
      <c r="G443" t="s">
        <v>2699</v>
      </c>
      <c r="H443" t="str">
        <f>_xlfn.IFNA(+VLOOKUP(G443,Agrupacion!A:B,2,0),"")</f>
        <v>AGRUPADOR 2</v>
      </c>
      <c r="I443" t="str">
        <f>_xlfn.IFNA(+VLOOKUP(G443,Agrupacion!A:C,3,0),"")</f>
        <v>CABA SUR</v>
      </c>
      <c r="K443" t="s">
        <v>846</v>
      </c>
      <c r="M443" t="s">
        <v>8</v>
      </c>
    </row>
    <row r="444" spans="1:13" x14ac:dyDescent="0.2">
      <c r="A444">
        <v>462</v>
      </c>
      <c r="B444" t="s">
        <v>2070</v>
      </c>
      <c r="C444">
        <v>1</v>
      </c>
      <c r="D444" t="s">
        <v>1098</v>
      </c>
      <c r="E444" t="s">
        <v>10</v>
      </c>
      <c r="F444" t="s">
        <v>1099</v>
      </c>
      <c r="G444" t="s">
        <v>2699</v>
      </c>
      <c r="H444" t="str">
        <f>_xlfn.IFNA(+VLOOKUP(G444,Agrupacion!A:B,2,0),"")</f>
        <v>AGRUPADOR 2</v>
      </c>
      <c r="I444" t="str">
        <f>_xlfn.IFNA(+VLOOKUP(G444,Agrupacion!A:C,3,0),"")</f>
        <v>CABA SUR</v>
      </c>
      <c r="K444" t="s">
        <v>1100</v>
      </c>
      <c r="M444" t="s">
        <v>8</v>
      </c>
    </row>
    <row r="445" spans="1:13" x14ac:dyDescent="0.2">
      <c r="A445">
        <v>463</v>
      </c>
      <c r="B445" t="s">
        <v>2071</v>
      </c>
      <c r="C445">
        <v>1</v>
      </c>
      <c r="D445" t="s">
        <v>1101</v>
      </c>
      <c r="E445" t="s">
        <v>10</v>
      </c>
      <c r="F445" t="s">
        <v>1031</v>
      </c>
      <c r="G445" t="s">
        <v>48</v>
      </c>
      <c r="H445" t="str">
        <f>_xlfn.IFNA(+VLOOKUP(G445,Agrupacion!A:B,2,0),"")</f>
        <v>AGRUPADOR 2</v>
      </c>
      <c r="I445" t="str">
        <f>_xlfn.IFNA(+VLOOKUP(G445,Agrupacion!A:C,3,0),"")</f>
        <v>CABA SUR</v>
      </c>
      <c r="K445" t="s">
        <v>1102</v>
      </c>
      <c r="M445" t="s">
        <v>8</v>
      </c>
    </row>
    <row r="446" spans="1:13" x14ac:dyDescent="0.2">
      <c r="A446">
        <v>464</v>
      </c>
      <c r="B446" t="s">
        <v>2072</v>
      </c>
      <c r="C446">
        <v>1</v>
      </c>
      <c r="D446" t="s">
        <v>1103</v>
      </c>
      <c r="E446" t="s">
        <v>10</v>
      </c>
      <c r="F446" t="s">
        <v>1104</v>
      </c>
      <c r="G446" t="s">
        <v>48</v>
      </c>
      <c r="H446" t="str">
        <f>_xlfn.IFNA(+VLOOKUP(G446,Agrupacion!A:B,2,0),"")</f>
        <v>AGRUPADOR 2</v>
      </c>
      <c r="I446" t="str">
        <f>_xlfn.IFNA(+VLOOKUP(G446,Agrupacion!A:C,3,0),"")</f>
        <v>CABA SUR</v>
      </c>
      <c r="J446" t="s">
        <v>15</v>
      </c>
      <c r="K446" t="s">
        <v>1105</v>
      </c>
      <c r="M446" t="s">
        <v>8</v>
      </c>
    </row>
    <row r="447" spans="1:13" x14ac:dyDescent="0.2">
      <c r="A447">
        <v>465</v>
      </c>
      <c r="B447" t="s">
        <v>2073</v>
      </c>
      <c r="C447">
        <v>1</v>
      </c>
      <c r="D447" t="s">
        <v>1106</v>
      </c>
      <c r="E447" t="s">
        <v>10</v>
      </c>
      <c r="F447" t="s">
        <v>269</v>
      </c>
      <c r="G447" t="s">
        <v>48</v>
      </c>
      <c r="H447" t="str">
        <f>_xlfn.IFNA(+VLOOKUP(G447,Agrupacion!A:B,2,0),"")</f>
        <v>AGRUPADOR 2</v>
      </c>
      <c r="I447" t="str">
        <f>_xlfn.IFNA(+VLOOKUP(G447,Agrupacion!A:C,3,0),"")</f>
        <v>CABA SUR</v>
      </c>
      <c r="J447" t="s">
        <v>15</v>
      </c>
      <c r="K447" t="s">
        <v>1107</v>
      </c>
      <c r="M447" t="s">
        <v>8</v>
      </c>
    </row>
    <row r="448" spans="1:13" x14ac:dyDescent="0.2">
      <c r="A448">
        <v>466</v>
      </c>
      <c r="B448" t="s">
        <v>2074</v>
      </c>
      <c r="C448">
        <v>1</v>
      </c>
      <c r="D448" t="s">
        <v>1108</v>
      </c>
      <c r="E448" t="s">
        <v>10</v>
      </c>
      <c r="F448" t="s">
        <v>107</v>
      </c>
      <c r="G448" t="s">
        <v>108</v>
      </c>
      <c r="H448" t="str">
        <f>_xlfn.IFNA(+VLOOKUP(G448,Agrupacion!A:B,2,0),"")</f>
        <v>AGRUPADOR 1</v>
      </c>
      <c r="I448" t="str">
        <f>_xlfn.IFNA(+VLOOKUP(G448,Agrupacion!A:C,3,0),"")</f>
        <v>CABA NORTE</v>
      </c>
      <c r="K448" t="s">
        <v>1109</v>
      </c>
      <c r="M448" t="s">
        <v>8</v>
      </c>
    </row>
    <row r="449" spans="1:13" x14ac:dyDescent="0.2">
      <c r="A449">
        <v>467</v>
      </c>
      <c r="B449" t="s">
        <v>2075</v>
      </c>
      <c r="C449">
        <v>1</v>
      </c>
      <c r="D449" t="s">
        <v>1110</v>
      </c>
      <c r="E449" t="s">
        <v>10</v>
      </c>
      <c r="F449" t="s">
        <v>1111</v>
      </c>
      <c r="G449" t="s">
        <v>48</v>
      </c>
      <c r="H449" t="str">
        <f>_xlfn.IFNA(+VLOOKUP(G449,Agrupacion!A:B,2,0),"")</f>
        <v>AGRUPADOR 2</v>
      </c>
      <c r="I449" t="str">
        <f>_xlfn.IFNA(+VLOOKUP(G449,Agrupacion!A:C,3,0),"")</f>
        <v>CABA SUR</v>
      </c>
      <c r="K449" t="s">
        <v>1112</v>
      </c>
      <c r="M449" t="s">
        <v>8</v>
      </c>
    </row>
    <row r="450" spans="1:13" x14ac:dyDescent="0.2">
      <c r="A450">
        <v>468</v>
      </c>
      <c r="B450" t="s">
        <v>2076</v>
      </c>
      <c r="C450">
        <v>1</v>
      </c>
      <c r="D450" t="s">
        <v>1113</v>
      </c>
      <c r="E450" t="s">
        <v>10</v>
      </c>
      <c r="F450" t="s">
        <v>1114</v>
      </c>
      <c r="G450" t="s">
        <v>396</v>
      </c>
      <c r="H450" t="str">
        <f>_xlfn.IFNA(+VLOOKUP(G450,Agrupacion!A:B,2,0),"")</f>
        <v>AGRUPADOR 3</v>
      </c>
      <c r="I450" t="str">
        <f>_xlfn.IFNA(+VLOOKUP(G450,Agrupacion!A:C,3,0),"")</f>
        <v>CABA SUR II</v>
      </c>
      <c r="J450" t="s">
        <v>15</v>
      </c>
      <c r="K450" t="s">
        <v>1115</v>
      </c>
      <c r="M450" t="s">
        <v>8</v>
      </c>
    </row>
    <row r="451" spans="1:13" x14ac:dyDescent="0.2">
      <c r="A451">
        <v>469</v>
      </c>
      <c r="B451" t="s">
        <v>2077</v>
      </c>
      <c r="C451">
        <v>1</v>
      </c>
      <c r="D451" t="s">
        <v>1116</v>
      </c>
      <c r="E451" t="s">
        <v>10</v>
      </c>
      <c r="F451" t="s">
        <v>1117</v>
      </c>
      <c r="G451" t="s">
        <v>201</v>
      </c>
      <c r="H451" t="str">
        <f>_xlfn.IFNA(+VLOOKUP(G451,Agrupacion!A:B,2,0),"")</f>
        <v>AGRUPADOR 2</v>
      </c>
      <c r="I451" t="str">
        <f>_xlfn.IFNA(+VLOOKUP(G451,Agrupacion!A:C,3,0),"")</f>
        <v>CABA SUR</v>
      </c>
      <c r="K451" t="s">
        <v>1118</v>
      </c>
      <c r="M451" t="s">
        <v>8</v>
      </c>
    </row>
    <row r="452" spans="1:13" x14ac:dyDescent="0.2">
      <c r="A452">
        <v>470</v>
      </c>
      <c r="B452" t="s">
        <v>2078</v>
      </c>
      <c r="C452">
        <v>1</v>
      </c>
      <c r="D452" t="s">
        <v>1124</v>
      </c>
      <c r="E452" t="s">
        <v>10</v>
      </c>
      <c r="F452" t="s">
        <v>256</v>
      </c>
      <c r="G452" t="s">
        <v>357</v>
      </c>
      <c r="H452" t="str">
        <f>_xlfn.IFNA(+VLOOKUP(G452,Agrupacion!A:B,2,0),"")</f>
        <v>AGRUPADOR 3</v>
      </c>
      <c r="I452" t="str">
        <f>_xlfn.IFNA(+VLOOKUP(G452,Agrupacion!A:C,3,0),"")</f>
        <v>CABA SUR II</v>
      </c>
      <c r="J452" t="s">
        <v>15</v>
      </c>
      <c r="K452" t="s">
        <v>257</v>
      </c>
      <c r="M452" t="s">
        <v>8</v>
      </c>
    </row>
    <row r="453" spans="1:13" x14ac:dyDescent="0.2">
      <c r="A453">
        <v>471</v>
      </c>
      <c r="B453" t="s">
        <v>2079</v>
      </c>
      <c r="C453">
        <v>1</v>
      </c>
      <c r="D453" t="s">
        <v>1125</v>
      </c>
      <c r="E453" t="s">
        <v>10</v>
      </c>
      <c r="F453" t="s">
        <v>1126</v>
      </c>
      <c r="G453" t="s">
        <v>2697</v>
      </c>
      <c r="H453" t="str">
        <f>_xlfn.IFNA(+VLOOKUP(G453,Agrupacion!A:B,2,0),"")</f>
        <v>AGRUPADOR 3</v>
      </c>
      <c r="I453" t="str">
        <f>_xlfn.IFNA(+VLOOKUP(G453,Agrupacion!A:C,3,0),"")</f>
        <v>CABA SUR II</v>
      </c>
      <c r="J453" t="s">
        <v>160</v>
      </c>
      <c r="K453" t="s">
        <v>1127</v>
      </c>
      <c r="M453" t="s">
        <v>8</v>
      </c>
    </row>
    <row r="454" spans="1:13" x14ac:dyDescent="0.2">
      <c r="A454">
        <v>472</v>
      </c>
      <c r="B454" t="s">
        <v>2080</v>
      </c>
      <c r="C454">
        <v>1</v>
      </c>
      <c r="D454" t="s">
        <v>1128</v>
      </c>
      <c r="E454" t="s">
        <v>10</v>
      </c>
      <c r="F454" t="s">
        <v>1129</v>
      </c>
      <c r="G454" t="s">
        <v>396</v>
      </c>
      <c r="H454" t="str">
        <f>_xlfn.IFNA(+VLOOKUP(G454,Agrupacion!A:B,2,0),"")</f>
        <v>AGRUPADOR 3</v>
      </c>
      <c r="I454" t="str">
        <f>_xlfn.IFNA(+VLOOKUP(G454,Agrupacion!A:C,3,0),"")</f>
        <v>CABA SUR II</v>
      </c>
      <c r="K454" t="s">
        <v>1130</v>
      </c>
      <c r="M454" t="s">
        <v>8</v>
      </c>
    </row>
    <row r="455" spans="1:13" x14ac:dyDescent="0.2">
      <c r="A455">
        <v>473</v>
      </c>
      <c r="B455" t="s">
        <v>2081</v>
      </c>
      <c r="C455">
        <v>1</v>
      </c>
      <c r="D455" t="s">
        <v>1131</v>
      </c>
      <c r="E455" t="s">
        <v>10</v>
      </c>
      <c r="F455" t="s">
        <v>1131</v>
      </c>
      <c r="G455" t="s">
        <v>396</v>
      </c>
      <c r="H455" t="str">
        <f>_xlfn.IFNA(+VLOOKUP(G455,Agrupacion!A:B,2,0),"")</f>
        <v>AGRUPADOR 3</v>
      </c>
      <c r="I455" t="str">
        <f>_xlfn.IFNA(+VLOOKUP(G455,Agrupacion!A:C,3,0),"")</f>
        <v>CABA SUR II</v>
      </c>
      <c r="J455" t="s">
        <v>15</v>
      </c>
      <c r="M455" t="s">
        <v>8</v>
      </c>
    </row>
    <row r="456" spans="1:13" x14ac:dyDescent="0.2">
      <c r="A456">
        <v>474</v>
      </c>
      <c r="B456" t="s">
        <v>2082</v>
      </c>
      <c r="C456">
        <v>1</v>
      </c>
      <c r="D456" t="s">
        <v>1132</v>
      </c>
      <c r="E456" t="s">
        <v>10</v>
      </c>
      <c r="F456" t="s">
        <v>1133</v>
      </c>
      <c r="G456" t="s">
        <v>396</v>
      </c>
      <c r="H456" t="str">
        <f>_xlfn.IFNA(+VLOOKUP(G456,Agrupacion!A:B,2,0),"")</f>
        <v>AGRUPADOR 3</v>
      </c>
      <c r="I456" t="str">
        <f>_xlfn.IFNA(+VLOOKUP(G456,Agrupacion!A:C,3,0),"")</f>
        <v>CABA SUR II</v>
      </c>
      <c r="K456" t="s">
        <v>1134</v>
      </c>
      <c r="M456" t="s">
        <v>8</v>
      </c>
    </row>
    <row r="457" spans="1:13" x14ac:dyDescent="0.2">
      <c r="A457">
        <v>475</v>
      </c>
      <c r="B457" t="s">
        <v>2083</v>
      </c>
      <c r="C457">
        <v>1</v>
      </c>
      <c r="D457" t="s">
        <v>1135</v>
      </c>
      <c r="E457" t="s">
        <v>10</v>
      </c>
      <c r="F457" t="s">
        <v>1136</v>
      </c>
      <c r="G457" t="s">
        <v>366</v>
      </c>
      <c r="H457" t="str">
        <f>_xlfn.IFNA(+VLOOKUP(G457,Agrupacion!A:B,2,0),"")</f>
        <v>AGRUPADOR 1</v>
      </c>
      <c r="I457" t="str">
        <f>_xlfn.IFNA(+VLOOKUP(G457,Agrupacion!A:C,3,0),"")</f>
        <v>CABA NORTE</v>
      </c>
      <c r="K457" t="s">
        <v>1137</v>
      </c>
      <c r="M457" t="s">
        <v>8</v>
      </c>
    </row>
    <row r="458" spans="1:13" x14ac:dyDescent="0.2">
      <c r="A458">
        <v>476</v>
      </c>
      <c r="B458" t="s">
        <v>2084</v>
      </c>
      <c r="C458">
        <v>1</v>
      </c>
      <c r="D458" t="s">
        <v>1138</v>
      </c>
      <c r="E458" t="s">
        <v>10</v>
      </c>
      <c r="F458" t="s">
        <v>515</v>
      </c>
      <c r="G458" t="s">
        <v>1192</v>
      </c>
      <c r="H458" t="str">
        <f>_xlfn.IFNA(+VLOOKUP(G458,Agrupacion!A:B,2,0),"")</f>
        <v>AGRUPADOR 3</v>
      </c>
      <c r="I458" t="str">
        <f>_xlfn.IFNA(+VLOOKUP(G458,Agrupacion!A:C,3,0),"")</f>
        <v>CABA SUR II</v>
      </c>
      <c r="J458" t="s">
        <v>282</v>
      </c>
      <c r="K458" t="s">
        <v>1139</v>
      </c>
      <c r="M458" t="s">
        <v>8</v>
      </c>
    </row>
    <row r="459" spans="1:13" x14ac:dyDescent="0.2">
      <c r="A459">
        <v>477</v>
      </c>
      <c r="B459" t="s">
        <v>2085</v>
      </c>
      <c r="C459">
        <v>1</v>
      </c>
      <c r="D459" t="s">
        <v>1140</v>
      </c>
      <c r="E459" t="s">
        <v>96</v>
      </c>
      <c r="F459" t="s">
        <v>1141</v>
      </c>
      <c r="G459" t="s">
        <v>108</v>
      </c>
      <c r="H459" t="str">
        <f>_xlfn.IFNA(+VLOOKUP(G459,Agrupacion!A:B,2,0),"")</f>
        <v>AGRUPADOR 1</v>
      </c>
      <c r="I459" t="str">
        <f>_xlfn.IFNA(+VLOOKUP(G459,Agrupacion!A:C,3,0),"")</f>
        <v>CABA NORTE</v>
      </c>
      <c r="M459" t="s">
        <v>8</v>
      </c>
    </row>
    <row r="460" spans="1:13" x14ac:dyDescent="0.2">
      <c r="A460">
        <v>478</v>
      </c>
      <c r="B460" t="s">
        <v>2086</v>
      </c>
      <c r="C460">
        <v>1</v>
      </c>
      <c r="D460" t="s">
        <v>1142</v>
      </c>
      <c r="E460" t="s">
        <v>96</v>
      </c>
      <c r="F460" t="s">
        <v>1143</v>
      </c>
      <c r="G460" t="s">
        <v>48</v>
      </c>
      <c r="H460" t="str">
        <f>_xlfn.IFNA(+VLOOKUP(G460,Agrupacion!A:B,2,0),"")</f>
        <v>AGRUPADOR 2</v>
      </c>
      <c r="I460" t="str">
        <f>_xlfn.IFNA(+VLOOKUP(G460,Agrupacion!A:C,3,0),"")</f>
        <v>CABA SUR</v>
      </c>
      <c r="K460" t="s">
        <v>1144</v>
      </c>
      <c r="L460" t="s">
        <v>1145</v>
      </c>
      <c r="M460" t="s">
        <v>8</v>
      </c>
    </row>
    <row r="461" spans="1:13" x14ac:dyDescent="0.2">
      <c r="A461">
        <v>480</v>
      </c>
      <c r="B461" t="s">
        <v>2087</v>
      </c>
      <c r="C461">
        <v>1</v>
      </c>
      <c r="D461" t="s">
        <v>1149</v>
      </c>
      <c r="E461" t="s">
        <v>10</v>
      </c>
      <c r="F461" t="s">
        <v>370</v>
      </c>
      <c r="G461" t="s">
        <v>396</v>
      </c>
      <c r="H461" t="str">
        <f>_xlfn.IFNA(+VLOOKUP(G461,Agrupacion!A:B,2,0),"")</f>
        <v>AGRUPADOR 3</v>
      </c>
      <c r="I461" t="str">
        <f>_xlfn.IFNA(+VLOOKUP(G461,Agrupacion!A:C,3,0),"")</f>
        <v>CABA SUR II</v>
      </c>
      <c r="J461" t="s">
        <v>15</v>
      </c>
      <c r="K461" t="s">
        <v>1059</v>
      </c>
      <c r="M461" t="s">
        <v>8</v>
      </c>
    </row>
    <row r="462" spans="1:13" x14ac:dyDescent="0.2">
      <c r="A462">
        <v>481</v>
      </c>
      <c r="B462" t="s">
        <v>2088</v>
      </c>
      <c r="C462">
        <v>1</v>
      </c>
      <c r="D462" t="s">
        <v>1150</v>
      </c>
      <c r="E462" t="s">
        <v>10</v>
      </c>
      <c r="F462" t="s">
        <v>1151</v>
      </c>
      <c r="G462" t="s">
        <v>842</v>
      </c>
      <c r="H462" t="str">
        <f>_xlfn.IFNA(+VLOOKUP(G462,Agrupacion!A:B,2,0),"")</f>
        <v>AGRUPADOR 1</v>
      </c>
      <c r="I462" t="str">
        <f>_xlfn.IFNA(+VLOOKUP(G462,Agrupacion!A:C,3,0),"")</f>
        <v>CABA NORTE</v>
      </c>
      <c r="K462" t="s">
        <v>1152</v>
      </c>
      <c r="M462" t="s">
        <v>8</v>
      </c>
    </row>
    <row r="463" spans="1:13" x14ac:dyDescent="0.2">
      <c r="A463">
        <v>482</v>
      </c>
      <c r="B463" t="s">
        <v>2089</v>
      </c>
      <c r="C463">
        <v>1</v>
      </c>
      <c r="D463" t="s">
        <v>1153</v>
      </c>
      <c r="E463" t="s">
        <v>10</v>
      </c>
      <c r="F463" t="s">
        <v>597</v>
      </c>
      <c r="G463" t="s">
        <v>2699</v>
      </c>
      <c r="H463" t="str">
        <f>_xlfn.IFNA(+VLOOKUP(G463,Agrupacion!A:B,2,0),"")</f>
        <v>AGRUPADOR 2</v>
      </c>
      <c r="I463" t="str">
        <f>_xlfn.IFNA(+VLOOKUP(G463,Agrupacion!A:C,3,0),"")</f>
        <v>CABA SUR</v>
      </c>
      <c r="K463" t="s">
        <v>1154</v>
      </c>
      <c r="M463" t="s">
        <v>8</v>
      </c>
    </row>
    <row r="464" spans="1:13" x14ac:dyDescent="0.2">
      <c r="A464">
        <v>483</v>
      </c>
      <c r="B464" t="s">
        <v>2090</v>
      </c>
      <c r="C464">
        <v>1</v>
      </c>
      <c r="D464" t="s">
        <v>1155</v>
      </c>
      <c r="E464" t="s">
        <v>10</v>
      </c>
      <c r="F464" t="s">
        <v>1156</v>
      </c>
      <c r="G464" t="s">
        <v>396</v>
      </c>
      <c r="H464" t="str">
        <f>_xlfn.IFNA(+VLOOKUP(G464,Agrupacion!A:B,2,0),"")</f>
        <v>AGRUPADOR 3</v>
      </c>
      <c r="I464" t="str">
        <f>_xlfn.IFNA(+VLOOKUP(G464,Agrupacion!A:C,3,0),"")</f>
        <v>CABA SUR II</v>
      </c>
      <c r="J464" t="s">
        <v>15</v>
      </c>
      <c r="K464" t="s">
        <v>1157</v>
      </c>
      <c r="M464" t="s">
        <v>8</v>
      </c>
    </row>
    <row r="465" spans="1:13" x14ac:dyDescent="0.2">
      <c r="A465">
        <v>484</v>
      </c>
      <c r="B465" t="s">
        <v>2091</v>
      </c>
      <c r="C465">
        <v>1</v>
      </c>
      <c r="D465" t="s">
        <v>1158</v>
      </c>
      <c r="E465" t="s">
        <v>10</v>
      </c>
      <c r="F465" t="s">
        <v>1159</v>
      </c>
      <c r="G465" t="s">
        <v>170</v>
      </c>
      <c r="H465" t="str">
        <f>_xlfn.IFNA(+VLOOKUP(G465,Agrupacion!A:B,2,0),"")</f>
        <v>AGRUPADOR 2</v>
      </c>
      <c r="I465" t="str">
        <f>_xlfn.IFNA(+VLOOKUP(G465,Agrupacion!A:C,3,0),"")</f>
        <v>CABA SUR</v>
      </c>
      <c r="M465" t="s">
        <v>8</v>
      </c>
    </row>
    <row r="466" spans="1:13" x14ac:dyDescent="0.2">
      <c r="A466">
        <v>485</v>
      </c>
      <c r="B466" t="s">
        <v>2092</v>
      </c>
      <c r="C466">
        <v>1</v>
      </c>
      <c r="D466" t="s">
        <v>1160</v>
      </c>
      <c r="E466" t="s">
        <v>10</v>
      </c>
      <c r="F466" t="s">
        <v>1161</v>
      </c>
      <c r="G466" t="s">
        <v>170</v>
      </c>
      <c r="H466" t="str">
        <f>_xlfn.IFNA(+VLOOKUP(G466,Agrupacion!A:B,2,0),"")</f>
        <v>AGRUPADOR 2</v>
      </c>
      <c r="I466" t="str">
        <f>_xlfn.IFNA(+VLOOKUP(G466,Agrupacion!A:C,3,0),"")</f>
        <v>CABA SUR</v>
      </c>
      <c r="J466" t="s">
        <v>626</v>
      </c>
      <c r="M466" t="s">
        <v>8</v>
      </c>
    </row>
    <row r="467" spans="1:13" x14ac:dyDescent="0.2">
      <c r="A467">
        <v>486</v>
      </c>
      <c r="B467" t="s">
        <v>2093</v>
      </c>
      <c r="C467">
        <v>1</v>
      </c>
      <c r="D467" t="s">
        <v>1162</v>
      </c>
      <c r="E467" t="s">
        <v>10</v>
      </c>
      <c r="F467" t="s">
        <v>1163</v>
      </c>
      <c r="G467" t="s">
        <v>170</v>
      </c>
      <c r="H467" t="str">
        <f>_xlfn.IFNA(+VLOOKUP(G467,Agrupacion!A:B,2,0),"")</f>
        <v>AGRUPADOR 2</v>
      </c>
      <c r="I467" t="str">
        <f>_xlfn.IFNA(+VLOOKUP(G467,Agrupacion!A:C,3,0),"")</f>
        <v>CABA SUR</v>
      </c>
      <c r="J467" t="s">
        <v>1164</v>
      </c>
      <c r="K467" t="s">
        <v>1165</v>
      </c>
      <c r="M467" t="s">
        <v>8</v>
      </c>
    </row>
    <row r="468" spans="1:13" x14ac:dyDescent="0.2">
      <c r="A468">
        <v>487</v>
      </c>
      <c r="B468" t="s">
        <v>2094</v>
      </c>
      <c r="C468">
        <v>1</v>
      </c>
      <c r="D468" t="s">
        <v>1166</v>
      </c>
      <c r="E468" t="s">
        <v>10</v>
      </c>
      <c r="F468" t="s">
        <v>1167</v>
      </c>
      <c r="G468" t="s">
        <v>170</v>
      </c>
      <c r="H468" t="str">
        <f>_xlfn.IFNA(+VLOOKUP(G468,Agrupacion!A:B,2,0),"")</f>
        <v>AGRUPADOR 2</v>
      </c>
      <c r="I468" t="str">
        <f>_xlfn.IFNA(+VLOOKUP(G468,Agrupacion!A:C,3,0),"")</f>
        <v>CABA SUR</v>
      </c>
      <c r="M468" t="s">
        <v>8</v>
      </c>
    </row>
    <row r="469" spans="1:13" x14ac:dyDescent="0.2">
      <c r="A469">
        <v>488</v>
      </c>
      <c r="B469" t="s">
        <v>2095</v>
      </c>
      <c r="C469">
        <v>1</v>
      </c>
      <c r="D469" t="s">
        <v>1168</v>
      </c>
      <c r="E469" t="s">
        <v>10</v>
      </c>
      <c r="F469" t="s">
        <v>1169</v>
      </c>
      <c r="G469" t="s">
        <v>201</v>
      </c>
      <c r="H469" t="str">
        <f>_xlfn.IFNA(+VLOOKUP(G469,Agrupacion!A:B,2,0),"")</f>
        <v>AGRUPADOR 2</v>
      </c>
      <c r="I469" t="str">
        <f>_xlfn.IFNA(+VLOOKUP(G469,Agrupacion!A:C,3,0),"")</f>
        <v>CABA SUR</v>
      </c>
      <c r="K469" t="s">
        <v>1170</v>
      </c>
      <c r="M469" t="s">
        <v>8</v>
      </c>
    </row>
    <row r="470" spans="1:13" x14ac:dyDescent="0.2">
      <c r="A470">
        <v>489</v>
      </c>
      <c r="B470" t="s">
        <v>2689</v>
      </c>
      <c r="C470" s="2">
        <v>1</v>
      </c>
      <c r="D470" t="s">
        <v>2684</v>
      </c>
      <c r="E470" t="s">
        <v>10</v>
      </c>
      <c r="F470" t="s">
        <v>2685</v>
      </c>
      <c r="G470" t="s">
        <v>2686</v>
      </c>
      <c r="H470" t="str">
        <f>_xlfn.IFNA(+VLOOKUP(G470,Agrupacion!A:B,2,0),"")</f>
        <v>RETIRA</v>
      </c>
      <c r="I470" t="s">
        <v>2686</v>
      </c>
      <c r="M470" t="s">
        <v>8</v>
      </c>
    </row>
    <row r="471" spans="1:13" x14ac:dyDescent="0.2">
      <c r="A471">
        <v>490</v>
      </c>
      <c r="B471" t="s">
        <v>2096</v>
      </c>
      <c r="C471">
        <v>1</v>
      </c>
      <c r="D471" t="s">
        <v>1173</v>
      </c>
      <c r="E471" t="s">
        <v>10</v>
      </c>
      <c r="F471" t="s">
        <v>1174</v>
      </c>
      <c r="G471" t="s">
        <v>2698</v>
      </c>
      <c r="H471" t="str">
        <f>_xlfn.IFNA(+VLOOKUP(G471,Agrupacion!A:B,2,0),"")</f>
        <v>AGRUPADOR 1</v>
      </c>
      <c r="I471" t="str">
        <f>_xlfn.IFNA(+VLOOKUP(G471,Agrupacion!A:C,3,0),"")</f>
        <v>CABA NORTE</v>
      </c>
      <c r="J471" t="s">
        <v>587</v>
      </c>
      <c r="K471" t="s">
        <v>1175</v>
      </c>
      <c r="L471" t="s">
        <v>1176</v>
      </c>
      <c r="M471" t="s">
        <v>8</v>
      </c>
    </row>
    <row r="472" spans="1:13" x14ac:dyDescent="0.2">
      <c r="A472">
        <v>491</v>
      </c>
      <c r="B472" t="s">
        <v>2097</v>
      </c>
      <c r="C472">
        <v>1</v>
      </c>
      <c r="D472" t="s">
        <v>1177</v>
      </c>
      <c r="E472" t="s">
        <v>10</v>
      </c>
      <c r="F472" t="s">
        <v>277</v>
      </c>
      <c r="G472" t="s">
        <v>48</v>
      </c>
      <c r="H472" t="str">
        <f>_xlfn.IFNA(+VLOOKUP(G472,Agrupacion!A:B,2,0),"")</f>
        <v>AGRUPADOR 2</v>
      </c>
      <c r="I472" t="str">
        <f>_xlfn.IFNA(+VLOOKUP(G472,Agrupacion!A:C,3,0),"")</f>
        <v>CABA SUR</v>
      </c>
      <c r="K472" t="s">
        <v>1178</v>
      </c>
      <c r="M472" t="s">
        <v>8</v>
      </c>
    </row>
    <row r="473" spans="1:13" x14ac:dyDescent="0.2">
      <c r="A473">
        <v>492</v>
      </c>
      <c r="B473" t="s">
        <v>2098</v>
      </c>
      <c r="C473">
        <v>1</v>
      </c>
      <c r="D473" t="s">
        <v>1179</v>
      </c>
      <c r="E473" t="s">
        <v>10</v>
      </c>
      <c r="F473" t="s">
        <v>733</v>
      </c>
      <c r="G473" t="s">
        <v>201</v>
      </c>
      <c r="H473" t="str">
        <f>_xlfn.IFNA(+VLOOKUP(G473,Agrupacion!A:B,2,0),"")</f>
        <v>AGRUPADOR 2</v>
      </c>
      <c r="I473" t="str">
        <f>_xlfn.IFNA(+VLOOKUP(G473,Agrupacion!A:C,3,0),"")</f>
        <v>CABA SUR</v>
      </c>
      <c r="K473" t="s">
        <v>1180</v>
      </c>
      <c r="M473" t="s">
        <v>8</v>
      </c>
    </row>
    <row r="474" spans="1:13" x14ac:dyDescent="0.2">
      <c r="A474">
        <v>493</v>
      </c>
      <c r="B474" t="s">
        <v>2099</v>
      </c>
      <c r="C474">
        <v>1</v>
      </c>
      <c r="D474" t="s">
        <v>1181</v>
      </c>
      <c r="E474" t="s">
        <v>10</v>
      </c>
      <c r="F474" t="s">
        <v>1182</v>
      </c>
      <c r="G474" t="s">
        <v>170</v>
      </c>
      <c r="H474" t="str">
        <f>_xlfn.IFNA(+VLOOKUP(G474,Agrupacion!A:B,2,0),"")</f>
        <v>AGRUPADOR 2</v>
      </c>
      <c r="I474" t="str">
        <f>_xlfn.IFNA(+VLOOKUP(G474,Agrupacion!A:C,3,0),"")</f>
        <v>CABA SUR</v>
      </c>
      <c r="K474" t="s">
        <v>1183</v>
      </c>
      <c r="M474" t="s">
        <v>8</v>
      </c>
    </row>
    <row r="475" spans="1:13" x14ac:dyDescent="0.2">
      <c r="A475">
        <v>494</v>
      </c>
      <c r="B475" t="s">
        <v>2100</v>
      </c>
      <c r="C475">
        <v>1</v>
      </c>
      <c r="D475" t="s">
        <v>1184</v>
      </c>
      <c r="E475" t="s">
        <v>10</v>
      </c>
      <c r="F475" t="s">
        <v>1185</v>
      </c>
      <c r="G475" t="s">
        <v>48</v>
      </c>
      <c r="H475" t="str">
        <f>_xlfn.IFNA(+VLOOKUP(G475,Agrupacion!A:B,2,0),"")</f>
        <v>AGRUPADOR 2</v>
      </c>
      <c r="I475" t="str">
        <f>_xlfn.IFNA(+VLOOKUP(G475,Agrupacion!A:C,3,0),"")</f>
        <v>CABA SUR</v>
      </c>
      <c r="K475" t="s">
        <v>1186</v>
      </c>
      <c r="M475" t="s">
        <v>8</v>
      </c>
    </row>
    <row r="476" spans="1:13" x14ac:dyDescent="0.2">
      <c r="A476">
        <v>495</v>
      </c>
      <c r="B476" t="s">
        <v>2101</v>
      </c>
      <c r="C476">
        <v>1</v>
      </c>
      <c r="D476" t="s">
        <v>1187</v>
      </c>
      <c r="E476" t="s">
        <v>10</v>
      </c>
      <c r="F476" t="s">
        <v>1188</v>
      </c>
      <c r="G476" t="s">
        <v>396</v>
      </c>
      <c r="H476" t="str">
        <f>_xlfn.IFNA(+VLOOKUP(G476,Agrupacion!A:B,2,0),"")</f>
        <v>AGRUPADOR 3</v>
      </c>
      <c r="I476" t="str">
        <f>_xlfn.IFNA(+VLOOKUP(G476,Agrupacion!A:C,3,0),"")</f>
        <v>CABA SUR II</v>
      </c>
      <c r="K476" t="s">
        <v>1189</v>
      </c>
      <c r="M476" t="s">
        <v>8</v>
      </c>
    </row>
    <row r="477" spans="1:13" x14ac:dyDescent="0.2">
      <c r="A477">
        <v>496</v>
      </c>
      <c r="B477" t="s">
        <v>2223</v>
      </c>
      <c r="C477">
        <v>1</v>
      </c>
      <c r="D477" t="s">
        <v>1190</v>
      </c>
      <c r="E477" t="s">
        <v>10</v>
      </c>
      <c r="F477" t="s">
        <v>1191</v>
      </c>
      <c r="G477" t="s">
        <v>1192</v>
      </c>
      <c r="H477" t="str">
        <f>_xlfn.IFNA(+VLOOKUP(G477,Agrupacion!A:B,2,0),"")</f>
        <v>AGRUPADOR 3</v>
      </c>
      <c r="I477" t="str">
        <f>_xlfn.IFNA(+VLOOKUP(G477,Agrupacion!A:C,3,0),"")</f>
        <v>CABA SUR II</v>
      </c>
      <c r="K477" t="s">
        <v>1193</v>
      </c>
      <c r="M477" t="s">
        <v>8</v>
      </c>
    </row>
    <row r="478" spans="1:13" x14ac:dyDescent="0.2">
      <c r="A478">
        <v>497</v>
      </c>
      <c r="B478" t="s">
        <v>2224</v>
      </c>
      <c r="C478">
        <v>1</v>
      </c>
      <c r="D478" t="s">
        <v>1194</v>
      </c>
      <c r="E478" t="s">
        <v>10</v>
      </c>
      <c r="F478" t="s">
        <v>1195</v>
      </c>
      <c r="G478" t="s">
        <v>396</v>
      </c>
      <c r="H478" t="str">
        <f>_xlfn.IFNA(+VLOOKUP(G478,Agrupacion!A:B,2,0),"")</f>
        <v>AGRUPADOR 3</v>
      </c>
      <c r="I478" t="str">
        <f>_xlfn.IFNA(+VLOOKUP(G478,Agrupacion!A:C,3,0),"")</f>
        <v>CABA SUR II</v>
      </c>
      <c r="K478" t="s">
        <v>1196</v>
      </c>
      <c r="L478" t="s">
        <v>1197</v>
      </c>
      <c r="M478" t="s">
        <v>8</v>
      </c>
    </row>
    <row r="479" spans="1:13" x14ac:dyDescent="0.2">
      <c r="A479">
        <v>498</v>
      </c>
      <c r="B479" t="s">
        <v>2225</v>
      </c>
      <c r="C479">
        <v>1</v>
      </c>
      <c r="D479" t="s">
        <v>1198</v>
      </c>
      <c r="E479" t="s">
        <v>10</v>
      </c>
      <c r="F479" t="s">
        <v>1199</v>
      </c>
      <c r="G479" t="s">
        <v>396</v>
      </c>
      <c r="H479" t="str">
        <f>_xlfn.IFNA(+VLOOKUP(G479,Agrupacion!A:B,2,0),"")</f>
        <v>AGRUPADOR 3</v>
      </c>
      <c r="I479" t="str">
        <f>_xlfn.IFNA(+VLOOKUP(G479,Agrupacion!A:C,3,0),"")</f>
        <v>CABA SUR II</v>
      </c>
      <c r="J479" t="s">
        <v>15</v>
      </c>
      <c r="K479" t="s">
        <v>1200</v>
      </c>
      <c r="M479" t="s">
        <v>8</v>
      </c>
    </row>
    <row r="480" spans="1:13" x14ac:dyDescent="0.2">
      <c r="A480">
        <v>499</v>
      </c>
      <c r="B480" t="s">
        <v>2226</v>
      </c>
      <c r="C480">
        <v>1</v>
      </c>
      <c r="D480" t="s">
        <v>1201</v>
      </c>
      <c r="E480" t="s">
        <v>10</v>
      </c>
      <c r="F480" t="s">
        <v>521</v>
      </c>
      <c r="G480" t="s">
        <v>170</v>
      </c>
      <c r="H480" t="str">
        <f>_xlfn.IFNA(+VLOOKUP(G480,Agrupacion!A:B,2,0),"")</f>
        <v>AGRUPADOR 2</v>
      </c>
      <c r="I480" t="str">
        <f>_xlfn.IFNA(+VLOOKUP(G480,Agrupacion!A:C,3,0),"")</f>
        <v>CABA SUR</v>
      </c>
      <c r="J480" t="s">
        <v>15</v>
      </c>
      <c r="K480" t="s">
        <v>1202</v>
      </c>
      <c r="M480" t="s">
        <v>8</v>
      </c>
    </row>
    <row r="481" spans="1:13" x14ac:dyDescent="0.2">
      <c r="A481">
        <v>500</v>
      </c>
      <c r="B481" t="s">
        <v>2227</v>
      </c>
      <c r="C481">
        <v>1</v>
      </c>
      <c r="D481" t="s">
        <v>1208</v>
      </c>
      <c r="E481" t="s">
        <v>10</v>
      </c>
      <c r="F481" t="s">
        <v>1209</v>
      </c>
      <c r="G481" t="s">
        <v>842</v>
      </c>
      <c r="H481" t="str">
        <f>_xlfn.IFNA(+VLOOKUP(G481,Agrupacion!A:B,2,0),"")</f>
        <v>AGRUPADOR 1</v>
      </c>
      <c r="I481" t="str">
        <f>_xlfn.IFNA(+VLOOKUP(G481,Agrupacion!A:C,3,0),"")</f>
        <v>CABA NORTE</v>
      </c>
      <c r="K481" t="s">
        <v>1210</v>
      </c>
      <c r="M481" t="s">
        <v>8</v>
      </c>
    </row>
    <row r="482" spans="1:13" x14ac:dyDescent="0.2">
      <c r="A482">
        <v>501</v>
      </c>
      <c r="B482" t="s">
        <v>2228</v>
      </c>
      <c r="C482">
        <v>1</v>
      </c>
      <c r="D482" t="s">
        <v>1211</v>
      </c>
      <c r="E482" t="s">
        <v>10</v>
      </c>
      <c r="F482" t="s">
        <v>1212</v>
      </c>
      <c r="G482" t="s">
        <v>1192</v>
      </c>
      <c r="H482" t="str">
        <f>_xlfn.IFNA(+VLOOKUP(G482,Agrupacion!A:B,2,0),"")</f>
        <v>AGRUPADOR 3</v>
      </c>
      <c r="I482" t="str">
        <f>_xlfn.IFNA(+VLOOKUP(G482,Agrupacion!A:C,3,0),"")</f>
        <v>CABA SUR II</v>
      </c>
      <c r="J482" t="s">
        <v>1213</v>
      </c>
      <c r="K482" t="s">
        <v>1214</v>
      </c>
      <c r="M482" t="s">
        <v>8</v>
      </c>
    </row>
    <row r="483" spans="1:13" x14ac:dyDescent="0.2">
      <c r="A483">
        <v>502</v>
      </c>
      <c r="B483" t="s">
        <v>2229</v>
      </c>
      <c r="C483">
        <v>1</v>
      </c>
      <c r="D483" t="s">
        <v>1215</v>
      </c>
      <c r="E483" t="s">
        <v>10</v>
      </c>
      <c r="F483" t="s">
        <v>503</v>
      </c>
      <c r="G483" t="s">
        <v>396</v>
      </c>
      <c r="H483" t="str">
        <f>_xlfn.IFNA(+VLOOKUP(G483,Agrupacion!A:B,2,0),"")</f>
        <v>AGRUPADOR 3</v>
      </c>
      <c r="I483" t="str">
        <f>_xlfn.IFNA(+VLOOKUP(G483,Agrupacion!A:C,3,0),"")</f>
        <v>CABA SUR II</v>
      </c>
      <c r="K483" t="s">
        <v>1216</v>
      </c>
      <c r="M483" t="s">
        <v>8</v>
      </c>
    </row>
    <row r="484" spans="1:13" x14ac:dyDescent="0.2">
      <c r="A484">
        <v>503</v>
      </c>
      <c r="B484" t="s">
        <v>2230</v>
      </c>
      <c r="C484">
        <v>1</v>
      </c>
      <c r="D484" t="s">
        <v>1217</v>
      </c>
      <c r="E484" t="s">
        <v>10</v>
      </c>
      <c r="F484" t="s">
        <v>398</v>
      </c>
      <c r="G484" t="s">
        <v>842</v>
      </c>
      <c r="H484" t="str">
        <f>_xlfn.IFNA(+VLOOKUP(G484,Agrupacion!A:B,2,0),"")</f>
        <v>AGRUPADOR 1</v>
      </c>
      <c r="I484" t="str">
        <f>_xlfn.IFNA(+VLOOKUP(G484,Agrupacion!A:C,3,0),"")</f>
        <v>CABA NORTE</v>
      </c>
      <c r="K484" t="s">
        <v>1218</v>
      </c>
      <c r="M484" t="s">
        <v>8</v>
      </c>
    </row>
    <row r="485" spans="1:13" x14ac:dyDescent="0.2">
      <c r="A485">
        <v>504</v>
      </c>
      <c r="B485" t="s">
        <v>2231</v>
      </c>
      <c r="C485">
        <v>1</v>
      </c>
      <c r="D485" t="s">
        <v>1219</v>
      </c>
      <c r="E485" t="s">
        <v>96</v>
      </c>
      <c r="F485" t="s">
        <v>1220</v>
      </c>
      <c r="G485" t="s">
        <v>1221</v>
      </c>
      <c r="H485" t="str">
        <f>_xlfn.IFNA(+VLOOKUP(G485,Agrupacion!A:B,2,0),"")</f>
        <v>AGRUPADOR 6</v>
      </c>
      <c r="I485" t="str">
        <f>_xlfn.IFNA(+VLOOKUP(G485,Agrupacion!A:C,3,0),"")</f>
        <v>GBA OESTE</v>
      </c>
      <c r="J485" t="s">
        <v>386</v>
      </c>
      <c r="K485" t="s">
        <v>1134</v>
      </c>
      <c r="M485" t="s">
        <v>8</v>
      </c>
    </row>
    <row r="486" spans="1:13" x14ac:dyDescent="0.2">
      <c r="A486">
        <v>505</v>
      </c>
      <c r="B486" t="s">
        <v>2232</v>
      </c>
      <c r="C486">
        <v>1</v>
      </c>
      <c r="D486" t="s">
        <v>1222</v>
      </c>
      <c r="E486" t="s">
        <v>10</v>
      </c>
      <c r="F486" t="s">
        <v>21</v>
      </c>
      <c r="G486" t="s">
        <v>396</v>
      </c>
      <c r="H486" t="str">
        <f>_xlfn.IFNA(+VLOOKUP(G486,Agrupacion!A:B,2,0),"")</f>
        <v>AGRUPADOR 3</v>
      </c>
      <c r="I486" t="str">
        <f>_xlfn.IFNA(+VLOOKUP(G486,Agrupacion!A:C,3,0),"")</f>
        <v>CABA SUR II</v>
      </c>
      <c r="J486" t="s">
        <v>15</v>
      </c>
      <c r="K486" t="s">
        <v>1223</v>
      </c>
      <c r="M486" t="s">
        <v>8</v>
      </c>
    </row>
    <row r="487" spans="1:13" x14ac:dyDescent="0.2">
      <c r="A487">
        <v>506</v>
      </c>
      <c r="B487" t="s">
        <v>2233</v>
      </c>
      <c r="C487">
        <v>1</v>
      </c>
      <c r="D487" t="s">
        <v>1224</v>
      </c>
      <c r="F487" t="s">
        <v>1225</v>
      </c>
      <c r="G487" t="s">
        <v>170</v>
      </c>
      <c r="H487" t="str">
        <f>_xlfn.IFNA(+VLOOKUP(G487,Agrupacion!A:B,2,0),"")</f>
        <v>AGRUPADOR 2</v>
      </c>
      <c r="I487" t="str">
        <f>_xlfn.IFNA(+VLOOKUP(G487,Agrupacion!A:C,3,0),"")</f>
        <v>CABA SUR</v>
      </c>
      <c r="K487" t="s">
        <v>703</v>
      </c>
      <c r="M487" t="s">
        <v>8</v>
      </c>
    </row>
    <row r="488" spans="1:13" x14ac:dyDescent="0.2">
      <c r="A488">
        <v>507</v>
      </c>
      <c r="B488" t="s">
        <v>2234</v>
      </c>
      <c r="C488">
        <v>1</v>
      </c>
      <c r="D488" t="s">
        <v>1226</v>
      </c>
      <c r="E488" t="s">
        <v>10</v>
      </c>
      <c r="F488" t="s">
        <v>1010</v>
      </c>
      <c r="G488" t="s">
        <v>170</v>
      </c>
      <c r="H488" t="str">
        <f>_xlfn.IFNA(+VLOOKUP(G488,Agrupacion!A:B,2,0),"")</f>
        <v>AGRUPADOR 2</v>
      </c>
      <c r="I488" t="str">
        <f>_xlfn.IFNA(+VLOOKUP(G488,Agrupacion!A:C,3,0),"")</f>
        <v>CABA SUR</v>
      </c>
      <c r="J488" t="s">
        <v>15</v>
      </c>
      <c r="K488" t="s">
        <v>1227</v>
      </c>
      <c r="M488" t="s">
        <v>8</v>
      </c>
    </row>
    <row r="489" spans="1:13" x14ac:dyDescent="0.2">
      <c r="A489">
        <v>508</v>
      </c>
      <c r="B489" t="s">
        <v>2691</v>
      </c>
      <c r="C489" s="2">
        <v>1</v>
      </c>
      <c r="D489" t="s">
        <v>2684</v>
      </c>
      <c r="E489" t="s">
        <v>10</v>
      </c>
      <c r="F489" t="s">
        <v>2685</v>
      </c>
      <c r="G489" t="s">
        <v>2686</v>
      </c>
      <c r="H489" t="str">
        <f>_xlfn.IFNA(+VLOOKUP(G489,Agrupacion!A:B,2,0),"")</f>
        <v>RETIRA</v>
      </c>
      <c r="I489" t="s">
        <v>2686</v>
      </c>
      <c r="M489" t="s">
        <v>8</v>
      </c>
    </row>
    <row r="490" spans="1:13" x14ac:dyDescent="0.2">
      <c r="A490">
        <v>509</v>
      </c>
      <c r="B490" t="s">
        <v>2235</v>
      </c>
      <c r="C490">
        <v>1</v>
      </c>
      <c r="D490" t="s">
        <v>1228</v>
      </c>
      <c r="E490" t="s">
        <v>96</v>
      </c>
      <c r="F490" t="s">
        <v>1229</v>
      </c>
      <c r="G490" t="s">
        <v>396</v>
      </c>
      <c r="H490" t="str">
        <f>_xlfn.IFNA(+VLOOKUP(G490,Agrupacion!A:B,2,0),"")</f>
        <v>AGRUPADOR 3</v>
      </c>
      <c r="I490" t="str">
        <f>_xlfn.IFNA(+VLOOKUP(G490,Agrupacion!A:C,3,0),"")</f>
        <v>CABA SUR II</v>
      </c>
      <c r="J490" t="s">
        <v>15</v>
      </c>
      <c r="K490" t="s">
        <v>1230</v>
      </c>
      <c r="M490" t="s">
        <v>8</v>
      </c>
    </row>
    <row r="491" spans="1:13" x14ac:dyDescent="0.2">
      <c r="A491">
        <v>510</v>
      </c>
      <c r="B491" t="s">
        <v>2236</v>
      </c>
      <c r="C491">
        <v>1</v>
      </c>
      <c r="D491" t="s">
        <v>1234</v>
      </c>
      <c r="E491" t="s">
        <v>10</v>
      </c>
      <c r="F491" t="s">
        <v>1235</v>
      </c>
      <c r="G491" t="s">
        <v>48</v>
      </c>
      <c r="H491" t="str">
        <f>_xlfn.IFNA(+VLOOKUP(G491,Agrupacion!A:B,2,0),"")</f>
        <v>AGRUPADOR 2</v>
      </c>
      <c r="I491" t="str">
        <f>_xlfn.IFNA(+VLOOKUP(G491,Agrupacion!A:C,3,0),"")</f>
        <v>CABA SUR</v>
      </c>
      <c r="M491" t="s">
        <v>8</v>
      </c>
    </row>
    <row r="492" spans="1:13" x14ac:dyDescent="0.2">
      <c r="A492">
        <v>511</v>
      </c>
      <c r="B492" t="s">
        <v>2237</v>
      </c>
      <c r="C492">
        <v>1</v>
      </c>
      <c r="D492" t="s">
        <v>1236</v>
      </c>
      <c r="E492" t="s">
        <v>10</v>
      </c>
      <c r="F492" t="s">
        <v>1237</v>
      </c>
      <c r="G492" t="s">
        <v>2699</v>
      </c>
      <c r="H492" t="str">
        <f>_xlfn.IFNA(+VLOOKUP(G492,Agrupacion!A:B,2,0),"")</f>
        <v>AGRUPADOR 2</v>
      </c>
      <c r="I492" t="str">
        <f>_xlfn.IFNA(+VLOOKUP(G492,Agrupacion!A:C,3,0),"")</f>
        <v>CABA SUR</v>
      </c>
      <c r="K492" t="s">
        <v>1238</v>
      </c>
      <c r="M492" t="s">
        <v>8</v>
      </c>
    </row>
    <row r="493" spans="1:13" x14ac:dyDescent="0.2">
      <c r="A493">
        <v>512</v>
      </c>
      <c r="B493" t="s">
        <v>1951</v>
      </c>
      <c r="C493">
        <v>1</v>
      </c>
      <c r="D493" t="s">
        <v>1239</v>
      </c>
      <c r="E493" t="s">
        <v>10</v>
      </c>
      <c r="F493" t="s">
        <v>256</v>
      </c>
      <c r="G493" t="s">
        <v>396</v>
      </c>
      <c r="H493" t="str">
        <f>_xlfn.IFNA(+VLOOKUP(G493,Agrupacion!A:B,2,0),"")</f>
        <v>AGRUPADOR 3</v>
      </c>
      <c r="I493" t="str">
        <f>_xlfn.IFNA(+VLOOKUP(G493,Agrupacion!A:C,3,0),"")</f>
        <v>CABA SUR II</v>
      </c>
      <c r="K493" t="s">
        <v>1240</v>
      </c>
      <c r="M493" t="s">
        <v>8</v>
      </c>
    </row>
    <row r="494" spans="1:13" x14ac:dyDescent="0.2">
      <c r="A494">
        <v>513</v>
      </c>
      <c r="B494" t="s">
        <v>1952</v>
      </c>
      <c r="C494">
        <v>1</v>
      </c>
      <c r="D494" t="s">
        <v>1241</v>
      </c>
      <c r="E494" t="s">
        <v>10</v>
      </c>
      <c r="F494" t="s">
        <v>1242</v>
      </c>
      <c r="G494" t="s">
        <v>549</v>
      </c>
      <c r="H494" t="str">
        <f>_xlfn.IFNA(+VLOOKUP(G494,Agrupacion!A:B,2,0),"")</f>
        <v>AGRUPADOR 1</v>
      </c>
      <c r="I494" t="str">
        <f>_xlfn.IFNA(+VLOOKUP(G494,Agrupacion!A:C,3,0),"")</f>
        <v>CABA NORTE</v>
      </c>
      <c r="M494" t="s">
        <v>8</v>
      </c>
    </row>
    <row r="495" spans="1:13" x14ac:dyDescent="0.2">
      <c r="A495">
        <v>514</v>
      </c>
      <c r="B495" t="s">
        <v>1953</v>
      </c>
      <c r="C495">
        <v>1</v>
      </c>
      <c r="D495" t="s">
        <v>1243</v>
      </c>
      <c r="E495" t="s">
        <v>10</v>
      </c>
      <c r="F495" t="s">
        <v>1244</v>
      </c>
      <c r="G495" t="s">
        <v>396</v>
      </c>
      <c r="H495" t="str">
        <f>_xlfn.IFNA(+VLOOKUP(G495,Agrupacion!A:B,2,0),"")</f>
        <v>AGRUPADOR 3</v>
      </c>
      <c r="I495" t="str">
        <f>_xlfn.IFNA(+VLOOKUP(G495,Agrupacion!A:C,3,0),"")</f>
        <v>CABA SUR II</v>
      </c>
      <c r="J495" t="s">
        <v>15</v>
      </c>
      <c r="K495" t="s">
        <v>1245</v>
      </c>
      <c r="M495" t="s">
        <v>8</v>
      </c>
    </row>
    <row r="496" spans="1:13" x14ac:dyDescent="0.2">
      <c r="A496">
        <v>515</v>
      </c>
      <c r="B496" t="s">
        <v>1954</v>
      </c>
      <c r="C496">
        <v>1</v>
      </c>
      <c r="D496" t="s">
        <v>1246</v>
      </c>
      <c r="E496" t="s">
        <v>10</v>
      </c>
      <c r="F496" t="s">
        <v>1247</v>
      </c>
      <c r="G496" t="s">
        <v>396</v>
      </c>
      <c r="H496" t="str">
        <f>_xlfn.IFNA(+VLOOKUP(G496,Agrupacion!A:B,2,0),"")</f>
        <v>AGRUPADOR 3</v>
      </c>
      <c r="I496" t="str">
        <f>_xlfn.IFNA(+VLOOKUP(G496,Agrupacion!A:C,3,0),"")</f>
        <v>CABA SUR II</v>
      </c>
      <c r="J496" t="s">
        <v>15</v>
      </c>
      <c r="K496" t="s">
        <v>1248</v>
      </c>
      <c r="M496" t="s">
        <v>8</v>
      </c>
    </row>
    <row r="497" spans="1:13" x14ac:dyDescent="0.2">
      <c r="A497">
        <v>516</v>
      </c>
      <c r="B497" t="s">
        <v>1955</v>
      </c>
      <c r="C497">
        <v>1</v>
      </c>
      <c r="D497" t="s">
        <v>1249</v>
      </c>
      <c r="E497" t="s">
        <v>10</v>
      </c>
      <c r="F497" t="s">
        <v>1250</v>
      </c>
      <c r="G497" t="s">
        <v>396</v>
      </c>
      <c r="H497" t="str">
        <f>_xlfn.IFNA(+VLOOKUP(G497,Agrupacion!A:B,2,0),"")</f>
        <v>AGRUPADOR 3</v>
      </c>
      <c r="I497" t="str">
        <f>_xlfn.IFNA(+VLOOKUP(G497,Agrupacion!A:C,3,0),"")</f>
        <v>CABA SUR II</v>
      </c>
      <c r="K497" t="s">
        <v>1251</v>
      </c>
      <c r="M497" t="s">
        <v>8</v>
      </c>
    </row>
    <row r="498" spans="1:13" x14ac:dyDescent="0.2">
      <c r="A498">
        <v>517</v>
      </c>
      <c r="B498" t="s">
        <v>1956</v>
      </c>
      <c r="C498">
        <v>1</v>
      </c>
      <c r="D498" t="s">
        <v>1252</v>
      </c>
      <c r="E498" t="s">
        <v>10</v>
      </c>
      <c r="F498" t="s">
        <v>1250</v>
      </c>
      <c r="G498" t="s">
        <v>396</v>
      </c>
      <c r="H498" t="str">
        <f>_xlfn.IFNA(+VLOOKUP(G498,Agrupacion!A:B,2,0),"")</f>
        <v>AGRUPADOR 3</v>
      </c>
      <c r="I498" t="str">
        <f>_xlfn.IFNA(+VLOOKUP(G498,Agrupacion!A:C,3,0),"")</f>
        <v>CABA SUR II</v>
      </c>
      <c r="J498" t="s">
        <v>15</v>
      </c>
      <c r="K498" t="s">
        <v>1253</v>
      </c>
      <c r="M498" t="s">
        <v>8</v>
      </c>
    </row>
    <row r="499" spans="1:13" x14ac:dyDescent="0.2">
      <c r="A499">
        <v>518</v>
      </c>
      <c r="B499" t="s">
        <v>1957</v>
      </c>
      <c r="C499">
        <v>1</v>
      </c>
      <c r="D499" t="s">
        <v>1254</v>
      </c>
      <c r="E499" t="s">
        <v>10</v>
      </c>
      <c r="F499" t="s">
        <v>1255</v>
      </c>
      <c r="G499" t="s">
        <v>396</v>
      </c>
      <c r="H499" t="str">
        <f>_xlfn.IFNA(+VLOOKUP(G499,Agrupacion!A:B,2,0),"")</f>
        <v>AGRUPADOR 3</v>
      </c>
      <c r="I499" t="str">
        <f>_xlfn.IFNA(+VLOOKUP(G499,Agrupacion!A:C,3,0),"")</f>
        <v>CABA SUR II</v>
      </c>
      <c r="J499" t="s">
        <v>15</v>
      </c>
      <c r="K499" t="s">
        <v>1256</v>
      </c>
      <c r="M499" t="s">
        <v>8</v>
      </c>
    </row>
    <row r="500" spans="1:13" x14ac:dyDescent="0.2">
      <c r="A500">
        <v>519</v>
      </c>
      <c r="B500" t="s">
        <v>1958</v>
      </c>
      <c r="C500">
        <v>1</v>
      </c>
      <c r="D500" t="s">
        <v>1257</v>
      </c>
      <c r="E500" t="s">
        <v>10</v>
      </c>
      <c r="F500" t="s">
        <v>1258</v>
      </c>
      <c r="G500" t="s">
        <v>396</v>
      </c>
      <c r="H500" t="str">
        <f>_xlfn.IFNA(+VLOOKUP(G500,Agrupacion!A:B,2,0),"")</f>
        <v>AGRUPADOR 3</v>
      </c>
      <c r="I500" t="str">
        <f>_xlfn.IFNA(+VLOOKUP(G500,Agrupacion!A:C,3,0),"")</f>
        <v>CABA SUR II</v>
      </c>
      <c r="J500" t="s">
        <v>15</v>
      </c>
      <c r="K500" t="s">
        <v>1259</v>
      </c>
      <c r="M500" t="s">
        <v>8</v>
      </c>
    </row>
    <row r="501" spans="1:13" x14ac:dyDescent="0.2">
      <c r="A501">
        <v>520</v>
      </c>
      <c r="B501" t="s">
        <v>1959</v>
      </c>
      <c r="C501">
        <v>1</v>
      </c>
      <c r="D501" t="s">
        <v>1263</v>
      </c>
      <c r="E501" t="s">
        <v>10</v>
      </c>
      <c r="F501" t="s">
        <v>1264</v>
      </c>
      <c r="G501" t="s">
        <v>396</v>
      </c>
      <c r="H501" t="str">
        <f>_xlfn.IFNA(+VLOOKUP(G501,Agrupacion!A:B,2,0),"")</f>
        <v>AGRUPADOR 3</v>
      </c>
      <c r="I501" t="str">
        <f>_xlfn.IFNA(+VLOOKUP(G501,Agrupacion!A:C,3,0),"")</f>
        <v>CABA SUR II</v>
      </c>
      <c r="J501" t="s">
        <v>15</v>
      </c>
      <c r="K501" t="s">
        <v>1265</v>
      </c>
      <c r="M501" t="s">
        <v>8</v>
      </c>
    </row>
    <row r="502" spans="1:13" x14ac:dyDescent="0.2">
      <c r="A502">
        <v>521</v>
      </c>
      <c r="B502" t="s">
        <v>1960</v>
      </c>
      <c r="C502">
        <v>1</v>
      </c>
      <c r="D502" t="s">
        <v>1266</v>
      </c>
      <c r="E502" t="s">
        <v>10</v>
      </c>
      <c r="F502" t="s">
        <v>1267</v>
      </c>
      <c r="G502" t="s">
        <v>170</v>
      </c>
      <c r="H502" t="str">
        <f>_xlfn.IFNA(+VLOOKUP(G502,Agrupacion!A:B,2,0),"")</f>
        <v>AGRUPADOR 2</v>
      </c>
      <c r="I502" t="str">
        <f>_xlfn.IFNA(+VLOOKUP(G502,Agrupacion!A:C,3,0),"")</f>
        <v>CABA SUR</v>
      </c>
      <c r="K502" t="s">
        <v>1268</v>
      </c>
      <c r="M502" t="s">
        <v>8</v>
      </c>
    </row>
    <row r="503" spans="1:13" x14ac:dyDescent="0.2">
      <c r="A503">
        <v>522</v>
      </c>
      <c r="B503" t="s">
        <v>1961</v>
      </c>
      <c r="C503">
        <v>1</v>
      </c>
      <c r="D503" t="s">
        <v>1269</v>
      </c>
      <c r="E503" t="s">
        <v>96</v>
      </c>
      <c r="F503" t="s">
        <v>1270</v>
      </c>
      <c r="G503" t="s">
        <v>2679</v>
      </c>
      <c r="H503" t="str">
        <f>_xlfn.IFNA(+VLOOKUP(G503,Agrupacion!A:B,2,0),"")</f>
        <v>AGRUPADOR 4</v>
      </c>
      <c r="I503" t="str">
        <f>_xlfn.IFNA(+VLOOKUP(G503,Agrupacion!A:C,3,0),"")</f>
        <v>GBA SUR</v>
      </c>
      <c r="J503" t="s">
        <v>1271</v>
      </c>
      <c r="M503" t="s">
        <v>8</v>
      </c>
    </row>
    <row r="504" spans="1:13" x14ac:dyDescent="0.2">
      <c r="A504">
        <v>523</v>
      </c>
      <c r="B504" t="s">
        <v>1962</v>
      </c>
      <c r="C504">
        <v>1</v>
      </c>
      <c r="D504" t="s">
        <v>1272</v>
      </c>
      <c r="E504" t="s">
        <v>10</v>
      </c>
      <c r="F504" t="s">
        <v>1273</v>
      </c>
      <c r="G504" t="s">
        <v>396</v>
      </c>
      <c r="H504" t="str">
        <f>_xlfn.IFNA(+VLOOKUP(G504,Agrupacion!A:B,2,0),"")</f>
        <v>AGRUPADOR 3</v>
      </c>
      <c r="I504" t="str">
        <f>_xlfn.IFNA(+VLOOKUP(G504,Agrupacion!A:C,3,0),"")</f>
        <v>CABA SUR II</v>
      </c>
      <c r="J504" t="s">
        <v>15</v>
      </c>
      <c r="K504" t="s">
        <v>1274</v>
      </c>
      <c r="M504" t="s">
        <v>8</v>
      </c>
    </row>
    <row r="505" spans="1:13" x14ac:dyDescent="0.2">
      <c r="A505">
        <v>524</v>
      </c>
      <c r="B505" t="s">
        <v>1963</v>
      </c>
      <c r="C505">
        <v>1</v>
      </c>
      <c r="D505" t="s">
        <v>1275</v>
      </c>
      <c r="E505" t="s">
        <v>10</v>
      </c>
      <c r="F505" t="s">
        <v>1276</v>
      </c>
      <c r="G505" t="s">
        <v>2697</v>
      </c>
      <c r="H505" t="str">
        <f>_xlfn.IFNA(+VLOOKUP(G505,Agrupacion!A:B,2,0),"")</f>
        <v>AGRUPADOR 3</v>
      </c>
      <c r="I505" t="str">
        <f>_xlfn.IFNA(+VLOOKUP(G505,Agrupacion!A:C,3,0),"")</f>
        <v>CABA SUR II</v>
      </c>
      <c r="J505" t="s">
        <v>191</v>
      </c>
      <c r="K505" t="s">
        <v>1277</v>
      </c>
      <c r="M505" t="s">
        <v>8</v>
      </c>
    </row>
    <row r="506" spans="1:13" x14ac:dyDescent="0.2">
      <c r="A506">
        <v>525</v>
      </c>
      <c r="B506" t="s">
        <v>1964</v>
      </c>
      <c r="C506">
        <v>1</v>
      </c>
      <c r="D506" t="s">
        <v>1278</v>
      </c>
      <c r="E506" t="s">
        <v>10</v>
      </c>
      <c r="F506" t="s">
        <v>127</v>
      </c>
      <c r="G506" t="s">
        <v>396</v>
      </c>
      <c r="H506" t="str">
        <f>_xlfn.IFNA(+VLOOKUP(G506,Agrupacion!A:B,2,0),"")</f>
        <v>AGRUPADOR 3</v>
      </c>
      <c r="I506" t="str">
        <f>_xlfn.IFNA(+VLOOKUP(G506,Agrupacion!A:C,3,0),"")</f>
        <v>CABA SUR II</v>
      </c>
      <c r="M506" t="s">
        <v>8</v>
      </c>
    </row>
    <row r="507" spans="1:13" x14ac:dyDescent="0.2">
      <c r="A507">
        <v>526</v>
      </c>
      <c r="B507" t="s">
        <v>1965</v>
      </c>
      <c r="C507">
        <v>1</v>
      </c>
      <c r="D507" t="s">
        <v>1279</v>
      </c>
      <c r="E507" t="s">
        <v>96</v>
      </c>
      <c r="F507" t="s">
        <v>1280</v>
      </c>
      <c r="G507" t="s">
        <v>338</v>
      </c>
      <c r="H507" t="str">
        <f>_xlfn.IFNA(+VLOOKUP(G507,Agrupacion!A:B,2,0),"")</f>
        <v>AGRUPADOR 8</v>
      </c>
      <c r="I507" t="str">
        <f>_xlfn.IFNA(+VLOOKUP(G507,Agrupacion!A:C,3,0),"")</f>
        <v>GBA NORTE</v>
      </c>
      <c r="K507" t="s">
        <v>1281</v>
      </c>
      <c r="M507" t="s">
        <v>8</v>
      </c>
    </row>
    <row r="508" spans="1:13" x14ac:dyDescent="0.2">
      <c r="A508">
        <v>527</v>
      </c>
      <c r="B508" t="s">
        <v>1966</v>
      </c>
      <c r="C508">
        <v>1</v>
      </c>
      <c r="D508" t="s">
        <v>1282</v>
      </c>
      <c r="E508" t="s">
        <v>10</v>
      </c>
      <c r="F508" t="s">
        <v>1283</v>
      </c>
      <c r="G508" t="s">
        <v>2698</v>
      </c>
      <c r="H508" t="str">
        <f>_xlfn.IFNA(+VLOOKUP(G508,Agrupacion!A:B,2,0),"")</f>
        <v>AGRUPADOR 1</v>
      </c>
      <c r="I508" t="str">
        <f>_xlfn.IFNA(+VLOOKUP(G508,Agrupacion!A:C,3,0),"")</f>
        <v>CABA NORTE</v>
      </c>
      <c r="J508" t="s">
        <v>852</v>
      </c>
      <c r="K508" t="s">
        <v>1284</v>
      </c>
      <c r="M508" t="s">
        <v>8</v>
      </c>
    </row>
    <row r="509" spans="1:13" x14ac:dyDescent="0.2">
      <c r="A509">
        <v>528</v>
      </c>
      <c r="B509" t="s">
        <v>1967</v>
      </c>
      <c r="C509">
        <v>1</v>
      </c>
      <c r="D509" t="s">
        <v>1285</v>
      </c>
      <c r="E509" t="s">
        <v>10</v>
      </c>
      <c r="F509" t="s">
        <v>1286</v>
      </c>
      <c r="G509" t="s">
        <v>170</v>
      </c>
      <c r="H509" t="str">
        <f>_xlfn.IFNA(+VLOOKUP(G509,Agrupacion!A:B,2,0),"")</f>
        <v>AGRUPADOR 2</v>
      </c>
      <c r="I509" t="str">
        <f>_xlfn.IFNA(+VLOOKUP(G509,Agrupacion!A:C,3,0),"")</f>
        <v>CABA SUR</v>
      </c>
      <c r="K509" t="s">
        <v>1287</v>
      </c>
      <c r="M509" t="s">
        <v>8</v>
      </c>
    </row>
    <row r="510" spans="1:13" x14ac:dyDescent="0.2">
      <c r="A510">
        <v>529</v>
      </c>
      <c r="B510" t="s">
        <v>1968</v>
      </c>
      <c r="C510">
        <v>1</v>
      </c>
      <c r="D510" t="s">
        <v>1288</v>
      </c>
      <c r="E510" t="s">
        <v>10</v>
      </c>
      <c r="F510" t="s">
        <v>1289</v>
      </c>
      <c r="G510" t="s">
        <v>170</v>
      </c>
      <c r="H510" t="str">
        <f>_xlfn.IFNA(+VLOOKUP(G510,Agrupacion!A:B,2,0),"")</f>
        <v>AGRUPADOR 2</v>
      </c>
      <c r="I510" t="str">
        <f>_xlfn.IFNA(+VLOOKUP(G510,Agrupacion!A:C,3,0),"")</f>
        <v>CABA SUR</v>
      </c>
      <c r="K510" t="s">
        <v>1290</v>
      </c>
      <c r="M510" t="s">
        <v>8</v>
      </c>
    </row>
    <row r="511" spans="1:13" x14ac:dyDescent="0.2">
      <c r="A511">
        <v>530</v>
      </c>
      <c r="B511" t="s">
        <v>1969</v>
      </c>
      <c r="C511">
        <v>1</v>
      </c>
      <c r="D511" t="s">
        <v>1294</v>
      </c>
      <c r="E511" t="s">
        <v>10</v>
      </c>
      <c r="F511" t="s">
        <v>41</v>
      </c>
      <c r="G511" t="s">
        <v>249</v>
      </c>
      <c r="H511" t="str">
        <f>_xlfn.IFNA(+VLOOKUP(G511,Agrupacion!A:B,2,0),"")</f>
        <v>AGRUPADOR 2</v>
      </c>
      <c r="I511" t="str">
        <f>_xlfn.IFNA(+VLOOKUP(G511,Agrupacion!A:C,3,0),"")</f>
        <v>CABA SUR</v>
      </c>
      <c r="J511" t="s">
        <v>15</v>
      </c>
      <c r="K511" t="s">
        <v>1295</v>
      </c>
      <c r="M511" t="s">
        <v>8</v>
      </c>
    </row>
    <row r="512" spans="1:13" x14ac:dyDescent="0.2">
      <c r="A512">
        <v>531</v>
      </c>
      <c r="B512" t="s">
        <v>1970</v>
      </c>
      <c r="C512">
        <v>1</v>
      </c>
      <c r="D512" t="s">
        <v>1296</v>
      </c>
      <c r="E512" t="s">
        <v>10</v>
      </c>
      <c r="F512" t="s">
        <v>1297</v>
      </c>
      <c r="G512" t="s">
        <v>396</v>
      </c>
      <c r="H512" t="str">
        <f>_xlfn.IFNA(+VLOOKUP(G512,Agrupacion!A:B,2,0),"")</f>
        <v>AGRUPADOR 3</v>
      </c>
      <c r="I512" t="str">
        <f>_xlfn.IFNA(+VLOOKUP(G512,Agrupacion!A:C,3,0),"")</f>
        <v>CABA SUR II</v>
      </c>
      <c r="J512" t="s">
        <v>15</v>
      </c>
      <c r="K512" t="s">
        <v>1298</v>
      </c>
      <c r="M512" t="s">
        <v>8</v>
      </c>
    </row>
    <row r="513" spans="1:13" x14ac:dyDescent="0.2">
      <c r="A513">
        <v>532</v>
      </c>
      <c r="B513" t="s">
        <v>1971</v>
      </c>
      <c r="C513">
        <v>1</v>
      </c>
      <c r="D513" t="s">
        <v>1299</v>
      </c>
      <c r="E513" t="s">
        <v>10</v>
      </c>
      <c r="F513" t="s">
        <v>61</v>
      </c>
      <c r="G513" t="s">
        <v>396</v>
      </c>
      <c r="H513" t="str">
        <f>_xlfn.IFNA(+VLOOKUP(G513,Agrupacion!A:B,2,0),"")</f>
        <v>AGRUPADOR 3</v>
      </c>
      <c r="I513" t="str">
        <f>_xlfn.IFNA(+VLOOKUP(G513,Agrupacion!A:C,3,0),"")</f>
        <v>CABA SUR II</v>
      </c>
      <c r="K513" t="s">
        <v>63</v>
      </c>
      <c r="M513" t="s">
        <v>8</v>
      </c>
    </row>
    <row r="514" spans="1:13" x14ac:dyDescent="0.2">
      <c r="A514">
        <v>533</v>
      </c>
      <c r="B514" t="s">
        <v>1972</v>
      </c>
      <c r="C514">
        <v>1</v>
      </c>
      <c r="D514" t="s">
        <v>1300</v>
      </c>
      <c r="E514" t="s">
        <v>10</v>
      </c>
      <c r="F514" t="s">
        <v>1301</v>
      </c>
      <c r="G514" t="s">
        <v>2677</v>
      </c>
      <c r="H514" t="str">
        <f>_xlfn.IFNA(+VLOOKUP(G514,Agrupacion!A:B,2,0),"")</f>
        <v>AGRUPADOR 1</v>
      </c>
      <c r="I514" t="str">
        <f>_xlfn.IFNA(+VLOOKUP(G514,Agrupacion!A:C,3,0),"")</f>
        <v>CABA NORTE</v>
      </c>
      <c r="K514" t="s">
        <v>1302</v>
      </c>
      <c r="L514" t="s">
        <v>1303</v>
      </c>
      <c r="M514" t="s">
        <v>8</v>
      </c>
    </row>
    <row r="515" spans="1:13" x14ac:dyDescent="0.2">
      <c r="A515">
        <v>534</v>
      </c>
      <c r="B515" t="s">
        <v>1973</v>
      </c>
      <c r="C515">
        <v>1</v>
      </c>
      <c r="D515" t="s">
        <v>1304</v>
      </c>
      <c r="E515" t="s">
        <v>10</v>
      </c>
      <c r="F515" t="s">
        <v>1305</v>
      </c>
      <c r="G515" t="s">
        <v>396</v>
      </c>
      <c r="H515" t="str">
        <f>_xlfn.IFNA(+VLOOKUP(G515,Agrupacion!A:B,2,0),"")</f>
        <v>AGRUPADOR 3</v>
      </c>
      <c r="I515" t="str">
        <f>_xlfn.IFNA(+VLOOKUP(G515,Agrupacion!A:C,3,0),"")</f>
        <v>CABA SUR II</v>
      </c>
      <c r="J515" t="s">
        <v>282</v>
      </c>
      <c r="K515" t="s">
        <v>1306</v>
      </c>
      <c r="M515" t="s">
        <v>8</v>
      </c>
    </row>
    <row r="516" spans="1:13" x14ac:dyDescent="0.2">
      <c r="A516">
        <v>535</v>
      </c>
      <c r="B516" t="s">
        <v>1974</v>
      </c>
      <c r="C516">
        <v>1</v>
      </c>
      <c r="D516" t="s">
        <v>1307</v>
      </c>
      <c r="E516" t="s">
        <v>10</v>
      </c>
      <c r="F516" t="s">
        <v>509</v>
      </c>
      <c r="G516" t="s">
        <v>396</v>
      </c>
      <c r="H516" t="str">
        <f>_xlfn.IFNA(+VLOOKUP(G516,Agrupacion!A:B,2,0),"")</f>
        <v>AGRUPADOR 3</v>
      </c>
      <c r="I516" t="str">
        <f>_xlfn.IFNA(+VLOOKUP(G516,Agrupacion!A:C,3,0),"")</f>
        <v>CABA SUR II</v>
      </c>
      <c r="J516" t="s">
        <v>15</v>
      </c>
      <c r="M516" t="s">
        <v>8</v>
      </c>
    </row>
    <row r="517" spans="1:13" x14ac:dyDescent="0.2">
      <c r="A517">
        <v>537</v>
      </c>
      <c r="B517" t="s">
        <v>1975</v>
      </c>
      <c r="C517">
        <v>1</v>
      </c>
      <c r="D517" t="s">
        <v>1308</v>
      </c>
      <c r="E517" t="s">
        <v>10</v>
      </c>
      <c r="F517" t="s">
        <v>1309</v>
      </c>
      <c r="G517" t="s">
        <v>396</v>
      </c>
      <c r="H517" t="str">
        <f>_xlfn.IFNA(+VLOOKUP(G517,Agrupacion!A:B,2,0),"")</f>
        <v>AGRUPADOR 3</v>
      </c>
      <c r="I517" t="str">
        <f>_xlfn.IFNA(+VLOOKUP(G517,Agrupacion!A:C,3,0),"")</f>
        <v>CABA SUR II</v>
      </c>
      <c r="K517" t="s">
        <v>1310</v>
      </c>
      <c r="M517" t="s">
        <v>8</v>
      </c>
    </row>
    <row r="518" spans="1:13" x14ac:dyDescent="0.2">
      <c r="A518">
        <v>538</v>
      </c>
      <c r="B518" t="s">
        <v>1976</v>
      </c>
      <c r="C518">
        <v>1</v>
      </c>
      <c r="D518" t="s">
        <v>1311</v>
      </c>
      <c r="E518" t="s">
        <v>10</v>
      </c>
      <c r="F518" t="s">
        <v>1312</v>
      </c>
      <c r="G518" t="s">
        <v>396</v>
      </c>
      <c r="H518" t="str">
        <f>_xlfn.IFNA(+VLOOKUP(G518,Agrupacion!A:B,2,0),"")</f>
        <v>AGRUPADOR 3</v>
      </c>
      <c r="I518" t="str">
        <f>_xlfn.IFNA(+VLOOKUP(G518,Agrupacion!A:C,3,0),"")</f>
        <v>CABA SUR II</v>
      </c>
      <c r="J518" t="s">
        <v>15</v>
      </c>
      <c r="K518" t="s">
        <v>1313</v>
      </c>
      <c r="M518" t="s">
        <v>8</v>
      </c>
    </row>
    <row r="519" spans="1:13" x14ac:dyDescent="0.2">
      <c r="A519">
        <v>539</v>
      </c>
      <c r="B519" t="s">
        <v>1977</v>
      </c>
      <c r="C519">
        <v>1</v>
      </c>
      <c r="D519" t="s">
        <v>1314</v>
      </c>
      <c r="E519" t="s">
        <v>10</v>
      </c>
      <c r="F519" t="s">
        <v>1315</v>
      </c>
      <c r="G519" t="s">
        <v>249</v>
      </c>
      <c r="H519" t="str">
        <f>_xlfn.IFNA(+VLOOKUP(G519,Agrupacion!A:B,2,0),"")</f>
        <v>AGRUPADOR 2</v>
      </c>
      <c r="I519" t="str">
        <f>_xlfn.IFNA(+VLOOKUP(G519,Agrupacion!A:C,3,0),"")</f>
        <v>CABA SUR</v>
      </c>
      <c r="K519" t="s">
        <v>1134</v>
      </c>
      <c r="L519" t="s">
        <v>1316</v>
      </c>
      <c r="M519" t="s">
        <v>8</v>
      </c>
    </row>
    <row r="520" spans="1:13" x14ac:dyDescent="0.2">
      <c r="A520">
        <v>540</v>
      </c>
      <c r="B520" t="s">
        <v>2102</v>
      </c>
      <c r="C520">
        <v>1</v>
      </c>
      <c r="D520" t="s">
        <v>1321</v>
      </c>
      <c r="E520" t="s">
        <v>10</v>
      </c>
      <c r="F520" t="s">
        <v>1322</v>
      </c>
      <c r="G520" t="s">
        <v>48</v>
      </c>
      <c r="H520" t="str">
        <f>_xlfn.IFNA(+VLOOKUP(G520,Agrupacion!A:B,2,0),"")</f>
        <v>AGRUPADOR 2</v>
      </c>
      <c r="I520" t="str">
        <f>_xlfn.IFNA(+VLOOKUP(G520,Agrupacion!A:C,3,0),"")</f>
        <v>CABA SUR</v>
      </c>
      <c r="J520" t="s">
        <v>15</v>
      </c>
      <c r="K520" t="s">
        <v>1323</v>
      </c>
      <c r="M520" t="s">
        <v>8</v>
      </c>
    </row>
    <row r="521" spans="1:13" x14ac:dyDescent="0.2">
      <c r="A521">
        <v>541</v>
      </c>
      <c r="B521" t="s">
        <v>2103</v>
      </c>
      <c r="C521">
        <v>1</v>
      </c>
      <c r="D521" t="s">
        <v>1114</v>
      </c>
      <c r="E521" t="s">
        <v>10</v>
      </c>
      <c r="F521" t="s">
        <v>1114</v>
      </c>
      <c r="G521" t="s">
        <v>396</v>
      </c>
      <c r="H521" t="str">
        <f>_xlfn.IFNA(+VLOOKUP(G521,Agrupacion!A:B,2,0),"")</f>
        <v>AGRUPADOR 3</v>
      </c>
      <c r="I521" t="str">
        <f>_xlfn.IFNA(+VLOOKUP(G521,Agrupacion!A:C,3,0),"")</f>
        <v>CABA SUR II</v>
      </c>
      <c r="K521" t="s">
        <v>1324</v>
      </c>
      <c r="M521" t="s">
        <v>8</v>
      </c>
    </row>
    <row r="522" spans="1:13" x14ac:dyDescent="0.2">
      <c r="A522">
        <v>542</v>
      </c>
      <c r="B522" t="s">
        <v>2104</v>
      </c>
      <c r="C522">
        <v>1</v>
      </c>
      <c r="D522" t="s">
        <v>1325</v>
      </c>
      <c r="E522" t="s">
        <v>10</v>
      </c>
      <c r="F522" t="s">
        <v>1326</v>
      </c>
      <c r="G522" t="s">
        <v>170</v>
      </c>
      <c r="H522" t="str">
        <f>_xlfn.IFNA(+VLOOKUP(G522,Agrupacion!A:B,2,0),"")</f>
        <v>AGRUPADOR 2</v>
      </c>
      <c r="I522" t="str">
        <f>_xlfn.IFNA(+VLOOKUP(G522,Agrupacion!A:C,3,0),"")</f>
        <v>CABA SUR</v>
      </c>
      <c r="K522" t="s">
        <v>1290</v>
      </c>
      <c r="M522" t="s">
        <v>8</v>
      </c>
    </row>
    <row r="523" spans="1:13" x14ac:dyDescent="0.2">
      <c r="A523">
        <v>543</v>
      </c>
      <c r="B523" t="s">
        <v>2105</v>
      </c>
      <c r="C523">
        <v>1</v>
      </c>
      <c r="D523" t="s">
        <v>1327</v>
      </c>
      <c r="E523" t="s">
        <v>10</v>
      </c>
      <c r="F523" t="s">
        <v>125</v>
      </c>
      <c r="G523" t="s">
        <v>249</v>
      </c>
      <c r="H523" t="str">
        <f>_xlfn.IFNA(+VLOOKUP(G523,Agrupacion!A:B,2,0),"")</f>
        <v>AGRUPADOR 2</v>
      </c>
      <c r="I523" t="str">
        <f>_xlfn.IFNA(+VLOOKUP(G523,Agrupacion!A:C,3,0),"")</f>
        <v>CABA SUR</v>
      </c>
      <c r="J523" t="s">
        <v>15</v>
      </c>
      <c r="K523" t="s">
        <v>1328</v>
      </c>
      <c r="L523" t="s">
        <v>1329</v>
      </c>
      <c r="M523" t="s">
        <v>8</v>
      </c>
    </row>
    <row r="524" spans="1:13" x14ac:dyDescent="0.2">
      <c r="A524">
        <v>544</v>
      </c>
      <c r="B524" t="s">
        <v>2106</v>
      </c>
      <c r="C524">
        <v>1</v>
      </c>
      <c r="D524" t="s">
        <v>1330</v>
      </c>
      <c r="E524" t="s">
        <v>10</v>
      </c>
      <c r="F524" t="s">
        <v>1331</v>
      </c>
      <c r="G524" t="s">
        <v>170</v>
      </c>
      <c r="H524" t="str">
        <f>_xlfn.IFNA(+VLOOKUP(G524,Agrupacion!A:B,2,0),"")</f>
        <v>AGRUPADOR 2</v>
      </c>
      <c r="I524" t="str">
        <f>_xlfn.IFNA(+VLOOKUP(G524,Agrupacion!A:C,3,0),"")</f>
        <v>CABA SUR</v>
      </c>
      <c r="K524" t="s">
        <v>1332</v>
      </c>
      <c r="M524" t="s">
        <v>8</v>
      </c>
    </row>
    <row r="525" spans="1:13" x14ac:dyDescent="0.2">
      <c r="A525">
        <v>545</v>
      </c>
      <c r="B525" t="s">
        <v>2107</v>
      </c>
      <c r="C525">
        <v>1</v>
      </c>
      <c r="D525" t="s">
        <v>1333</v>
      </c>
      <c r="E525" t="s">
        <v>10</v>
      </c>
      <c r="F525" t="s">
        <v>1334</v>
      </c>
      <c r="G525" t="s">
        <v>48</v>
      </c>
      <c r="H525" t="str">
        <f>_xlfn.IFNA(+VLOOKUP(G525,Agrupacion!A:B,2,0),"")</f>
        <v>AGRUPADOR 2</v>
      </c>
      <c r="I525" t="str">
        <f>_xlfn.IFNA(+VLOOKUP(G525,Agrupacion!A:C,3,0),"")</f>
        <v>CABA SUR</v>
      </c>
      <c r="K525" t="s">
        <v>771</v>
      </c>
      <c r="M525" t="s">
        <v>8</v>
      </c>
    </row>
    <row r="526" spans="1:13" x14ac:dyDescent="0.2">
      <c r="A526">
        <v>546</v>
      </c>
      <c r="B526" t="s">
        <v>2108</v>
      </c>
      <c r="C526">
        <v>1</v>
      </c>
      <c r="D526" t="s">
        <v>1335</v>
      </c>
      <c r="E526" t="s">
        <v>10</v>
      </c>
      <c r="F526" t="s">
        <v>1336</v>
      </c>
      <c r="G526" t="s">
        <v>48</v>
      </c>
      <c r="H526" t="str">
        <f>_xlfn.IFNA(+VLOOKUP(G526,Agrupacion!A:B,2,0),"")</f>
        <v>AGRUPADOR 2</v>
      </c>
      <c r="I526" t="str">
        <f>_xlfn.IFNA(+VLOOKUP(G526,Agrupacion!A:C,3,0),"")</f>
        <v>CABA SUR</v>
      </c>
      <c r="J526" t="s">
        <v>15</v>
      </c>
      <c r="K526" t="s">
        <v>1337</v>
      </c>
      <c r="M526" t="s">
        <v>8</v>
      </c>
    </row>
    <row r="527" spans="1:13" x14ac:dyDescent="0.2">
      <c r="A527">
        <v>547</v>
      </c>
      <c r="B527" t="s">
        <v>1975</v>
      </c>
      <c r="C527">
        <v>1</v>
      </c>
      <c r="D527" t="s">
        <v>1308</v>
      </c>
      <c r="E527" t="s">
        <v>10</v>
      </c>
      <c r="F527" t="s">
        <v>1309</v>
      </c>
      <c r="G527" t="s">
        <v>396</v>
      </c>
      <c r="H527" t="str">
        <f>_xlfn.IFNA(+VLOOKUP(G527,Agrupacion!A:B,2,0),"")</f>
        <v>AGRUPADOR 3</v>
      </c>
      <c r="I527" t="str">
        <f>_xlfn.IFNA(+VLOOKUP(G527,Agrupacion!A:C,3,0),"")</f>
        <v>CABA SUR II</v>
      </c>
      <c r="K527" t="s">
        <v>1310</v>
      </c>
      <c r="M527" t="s">
        <v>8</v>
      </c>
    </row>
    <row r="528" spans="1:13" x14ac:dyDescent="0.2">
      <c r="A528">
        <v>548</v>
      </c>
      <c r="B528" t="s">
        <v>2109</v>
      </c>
      <c r="C528">
        <v>1</v>
      </c>
      <c r="D528" t="s">
        <v>1338</v>
      </c>
      <c r="E528" t="s">
        <v>10</v>
      </c>
      <c r="F528" t="s">
        <v>1339</v>
      </c>
      <c r="G528" t="s">
        <v>1192</v>
      </c>
      <c r="H528" t="str">
        <f>_xlfn.IFNA(+VLOOKUP(G528,Agrupacion!A:B,2,0),"")</f>
        <v>AGRUPADOR 3</v>
      </c>
      <c r="I528" t="str">
        <f>_xlfn.IFNA(+VLOOKUP(G528,Agrupacion!A:C,3,0),"")</f>
        <v>CABA SUR II</v>
      </c>
      <c r="K528" t="s">
        <v>1340</v>
      </c>
      <c r="M528" t="s">
        <v>8</v>
      </c>
    </row>
    <row r="529" spans="1:13" x14ac:dyDescent="0.2">
      <c r="A529">
        <v>550</v>
      </c>
      <c r="B529" t="s">
        <v>2110</v>
      </c>
      <c r="C529">
        <v>1</v>
      </c>
      <c r="D529" t="s">
        <v>1343</v>
      </c>
      <c r="E529" t="s">
        <v>10</v>
      </c>
      <c r="F529" t="s">
        <v>1344</v>
      </c>
      <c r="G529" t="s">
        <v>170</v>
      </c>
      <c r="H529" t="str">
        <f>_xlfn.IFNA(+VLOOKUP(G529,Agrupacion!A:B,2,0),"")</f>
        <v>AGRUPADOR 2</v>
      </c>
      <c r="I529" t="str">
        <f>_xlfn.IFNA(+VLOOKUP(G529,Agrupacion!A:C,3,0),"")</f>
        <v>CABA SUR</v>
      </c>
      <c r="K529" t="s">
        <v>1345</v>
      </c>
      <c r="L529" t="s">
        <v>1346</v>
      </c>
      <c r="M529" t="s">
        <v>8</v>
      </c>
    </row>
    <row r="530" spans="1:13" x14ac:dyDescent="0.2">
      <c r="A530">
        <v>551</v>
      </c>
      <c r="B530" t="s">
        <v>2111</v>
      </c>
      <c r="C530">
        <v>1</v>
      </c>
      <c r="D530" t="s">
        <v>1347</v>
      </c>
      <c r="E530" t="s">
        <v>10</v>
      </c>
      <c r="F530" t="s">
        <v>1034</v>
      </c>
      <c r="G530" t="s">
        <v>1192</v>
      </c>
      <c r="H530" t="str">
        <f>_xlfn.IFNA(+VLOOKUP(G530,Agrupacion!A:B,2,0),"")</f>
        <v>AGRUPADOR 3</v>
      </c>
      <c r="I530" t="str">
        <f>_xlfn.IFNA(+VLOOKUP(G530,Agrupacion!A:C,3,0),"")</f>
        <v>CABA SUR II</v>
      </c>
      <c r="K530" t="s">
        <v>1348</v>
      </c>
      <c r="M530" t="s">
        <v>8</v>
      </c>
    </row>
    <row r="531" spans="1:13" x14ac:dyDescent="0.2">
      <c r="A531">
        <v>552</v>
      </c>
      <c r="B531" t="s">
        <v>2112</v>
      </c>
      <c r="C531">
        <v>1</v>
      </c>
      <c r="D531" t="s">
        <v>1349</v>
      </c>
      <c r="E531" t="s">
        <v>10</v>
      </c>
      <c r="F531" t="s">
        <v>1350</v>
      </c>
      <c r="G531" t="s">
        <v>396</v>
      </c>
      <c r="H531" t="str">
        <f>_xlfn.IFNA(+VLOOKUP(G531,Agrupacion!A:B,2,0),"")</f>
        <v>AGRUPADOR 3</v>
      </c>
      <c r="I531" t="str">
        <f>_xlfn.IFNA(+VLOOKUP(G531,Agrupacion!A:C,3,0),"")</f>
        <v>CABA SUR II</v>
      </c>
      <c r="J531" t="s">
        <v>15</v>
      </c>
      <c r="K531" t="s">
        <v>1351</v>
      </c>
      <c r="L531" t="s">
        <v>1352</v>
      </c>
      <c r="M531" t="s">
        <v>8</v>
      </c>
    </row>
    <row r="532" spans="1:13" x14ac:dyDescent="0.2">
      <c r="A532">
        <v>553</v>
      </c>
      <c r="B532" t="s">
        <v>2113</v>
      </c>
      <c r="C532">
        <v>1</v>
      </c>
      <c r="D532" t="s">
        <v>1353</v>
      </c>
      <c r="E532" t="s">
        <v>10</v>
      </c>
      <c r="F532" t="s">
        <v>1354</v>
      </c>
      <c r="G532" t="s">
        <v>2697</v>
      </c>
      <c r="H532" t="str">
        <f>_xlfn.IFNA(+VLOOKUP(G532,Agrupacion!A:B,2,0),"")</f>
        <v>AGRUPADOR 3</v>
      </c>
      <c r="I532" t="str">
        <f>_xlfn.IFNA(+VLOOKUP(G532,Agrupacion!A:C,3,0),"")</f>
        <v>CABA SUR II</v>
      </c>
      <c r="K532" t="s">
        <v>1355</v>
      </c>
      <c r="M532" t="s">
        <v>8</v>
      </c>
    </row>
    <row r="533" spans="1:13" x14ac:dyDescent="0.2">
      <c r="A533">
        <v>554</v>
      </c>
      <c r="B533" t="s">
        <v>2114</v>
      </c>
      <c r="C533">
        <v>1</v>
      </c>
      <c r="D533" t="s">
        <v>1356</v>
      </c>
      <c r="E533" t="s">
        <v>10</v>
      </c>
      <c r="F533" t="s">
        <v>1357</v>
      </c>
      <c r="G533" t="s">
        <v>396</v>
      </c>
      <c r="H533" t="str">
        <f>_xlfn.IFNA(+VLOOKUP(G533,Agrupacion!A:B,2,0),"")</f>
        <v>AGRUPADOR 3</v>
      </c>
      <c r="I533" t="str">
        <f>_xlfn.IFNA(+VLOOKUP(G533,Agrupacion!A:C,3,0),"")</f>
        <v>CABA SUR II</v>
      </c>
      <c r="J533" t="s">
        <v>15</v>
      </c>
      <c r="K533" t="s">
        <v>1358</v>
      </c>
      <c r="M533" t="s">
        <v>8</v>
      </c>
    </row>
    <row r="534" spans="1:13" x14ac:dyDescent="0.2">
      <c r="A534">
        <v>555</v>
      </c>
      <c r="B534" t="s">
        <v>2115</v>
      </c>
      <c r="C534">
        <v>1</v>
      </c>
      <c r="D534" t="s">
        <v>1359</v>
      </c>
      <c r="E534" t="s">
        <v>96</v>
      </c>
      <c r="F534" t="s">
        <v>1360</v>
      </c>
      <c r="G534" t="s">
        <v>1361</v>
      </c>
      <c r="H534" t="str">
        <f>_xlfn.IFNA(+VLOOKUP(G534,Agrupacion!A:B,2,0),"")</f>
        <v>AGRUPADOR 7</v>
      </c>
      <c r="I534" t="str">
        <f>_xlfn.IFNA(+VLOOKUP(G534,Agrupacion!A:C,3,0),"")</f>
        <v>GBA OESTE II</v>
      </c>
      <c r="K534" t="s">
        <v>1362</v>
      </c>
      <c r="M534" t="s">
        <v>8</v>
      </c>
    </row>
    <row r="535" spans="1:13" x14ac:dyDescent="0.2">
      <c r="A535">
        <v>556</v>
      </c>
      <c r="B535" t="s">
        <v>2116</v>
      </c>
      <c r="C535">
        <v>1</v>
      </c>
      <c r="D535" t="s">
        <v>1363</v>
      </c>
      <c r="E535" t="s">
        <v>10</v>
      </c>
      <c r="F535" t="s">
        <v>1364</v>
      </c>
      <c r="G535" t="s">
        <v>549</v>
      </c>
      <c r="H535" t="str">
        <f>_xlfn.IFNA(+VLOOKUP(G535,Agrupacion!A:B,2,0),"")</f>
        <v>AGRUPADOR 1</v>
      </c>
      <c r="I535" t="str">
        <f>_xlfn.IFNA(+VLOOKUP(G535,Agrupacion!A:C,3,0),"")</f>
        <v>CABA NORTE</v>
      </c>
      <c r="J535" t="s">
        <v>1365</v>
      </c>
      <c r="M535" t="s">
        <v>8</v>
      </c>
    </row>
    <row r="536" spans="1:13" x14ac:dyDescent="0.2">
      <c r="A536">
        <v>557</v>
      </c>
      <c r="B536" t="s">
        <v>2117</v>
      </c>
      <c r="C536">
        <v>1</v>
      </c>
      <c r="D536" t="s">
        <v>1366</v>
      </c>
      <c r="E536" t="s">
        <v>10</v>
      </c>
      <c r="F536" t="s">
        <v>1367</v>
      </c>
      <c r="G536" t="s">
        <v>396</v>
      </c>
      <c r="H536" t="str">
        <f>_xlfn.IFNA(+VLOOKUP(G536,Agrupacion!A:B,2,0),"")</f>
        <v>AGRUPADOR 3</v>
      </c>
      <c r="I536" t="str">
        <f>_xlfn.IFNA(+VLOOKUP(G536,Agrupacion!A:C,3,0),"")</f>
        <v>CABA SUR II</v>
      </c>
      <c r="J536" t="s">
        <v>15</v>
      </c>
      <c r="K536" t="s">
        <v>1368</v>
      </c>
      <c r="M536" t="s">
        <v>8</v>
      </c>
    </row>
    <row r="537" spans="1:13" x14ac:dyDescent="0.2">
      <c r="A537">
        <v>558</v>
      </c>
      <c r="B537" t="s">
        <v>2118</v>
      </c>
      <c r="C537">
        <v>1</v>
      </c>
      <c r="D537" t="s">
        <v>1308</v>
      </c>
      <c r="E537" t="s">
        <v>10</v>
      </c>
      <c r="F537" t="s">
        <v>1309</v>
      </c>
      <c r="G537" t="s">
        <v>396</v>
      </c>
      <c r="H537" t="str">
        <f>_xlfn.IFNA(+VLOOKUP(G537,Agrupacion!A:B,2,0),"")</f>
        <v>AGRUPADOR 3</v>
      </c>
      <c r="I537" t="str">
        <f>_xlfn.IFNA(+VLOOKUP(G537,Agrupacion!A:C,3,0),"")</f>
        <v>CABA SUR II</v>
      </c>
      <c r="K537" t="s">
        <v>1369</v>
      </c>
      <c r="M537" t="s">
        <v>8</v>
      </c>
    </row>
    <row r="538" spans="1:13" x14ac:dyDescent="0.2">
      <c r="A538">
        <v>559</v>
      </c>
      <c r="B538" t="s">
        <v>2119</v>
      </c>
      <c r="C538">
        <v>1</v>
      </c>
      <c r="D538" t="s">
        <v>1370</v>
      </c>
      <c r="E538" t="s">
        <v>96</v>
      </c>
      <c r="F538" t="s">
        <v>1371</v>
      </c>
      <c r="G538" t="s">
        <v>889</v>
      </c>
      <c r="H538" t="str">
        <f>_xlfn.IFNA(+VLOOKUP(G538,Agrupacion!A:B,2,0),"")</f>
        <v>AGRUPADOR 6</v>
      </c>
      <c r="I538" t="str">
        <f>_xlfn.IFNA(+VLOOKUP(G538,Agrupacion!A:C,3,0),"")</f>
        <v>GBA OESTE</v>
      </c>
      <c r="J538" t="s">
        <v>890</v>
      </c>
      <c r="K538" t="s">
        <v>1372</v>
      </c>
      <c r="M538" t="s">
        <v>8</v>
      </c>
    </row>
    <row r="539" spans="1:13" x14ac:dyDescent="0.2">
      <c r="A539">
        <v>560</v>
      </c>
      <c r="B539" t="s">
        <v>2120</v>
      </c>
      <c r="C539">
        <v>1</v>
      </c>
      <c r="D539" t="s">
        <v>1375</v>
      </c>
      <c r="E539" t="s">
        <v>96</v>
      </c>
      <c r="F539" t="s">
        <v>1376</v>
      </c>
      <c r="G539" t="s">
        <v>170</v>
      </c>
      <c r="H539" t="str">
        <f>_xlfn.IFNA(+VLOOKUP(G539,Agrupacion!A:B,2,0),"")</f>
        <v>AGRUPADOR 2</v>
      </c>
      <c r="I539" t="str">
        <f>_xlfn.IFNA(+VLOOKUP(G539,Agrupacion!A:C,3,0),"")</f>
        <v>CABA SUR</v>
      </c>
      <c r="J539" t="s">
        <v>15</v>
      </c>
      <c r="K539" t="s">
        <v>1377</v>
      </c>
      <c r="L539" t="s">
        <v>1378</v>
      </c>
      <c r="M539" t="s">
        <v>8</v>
      </c>
    </row>
    <row r="540" spans="1:13" x14ac:dyDescent="0.2">
      <c r="A540">
        <v>561</v>
      </c>
      <c r="B540" t="s">
        <v>2121</v>
      </c>
      <c r="C540">
        <v>1</v>
      </c>
      <c r="D540" t="s">
        <v>1379</v>
      </c>
      <c r="E540" t="s">
        <v>10</v>
      </c>
      <c r="F540" t="s">
        <v>1380</v>
      </c>
      <c r="G540" t="s">
        <v>201</v>
      </c>
      <c r="H540" t="str">
        <f>_xlfn.IFNA(+VLOOKUP(G540,Agrupacion!A:B,2,0),"")</f>
        <v>AGRUPADOR 2</v>
      </c>
      <c r="I540" t="str">
        <f>_xlfn.IFNA(+VLOOKUP(G540,Agrupacion!A:C,3,0),"")</f>
        <v>CABA SUR</v>
      </c>
      <c r="K540" t="s">
        <v>1381</v>
      </c>
      <c r="M540" t="s">
        <v>8</v>
      </c>
    </row>
    <row r="541" spans="1:13" x14ac:dyDescent="0.2">
      <c r="A541">
        <v>562</v>
      </c>
      <c r="B541" t="s">
        <v>2122</v>
      </c>
      <c r="C541">
        <v>1</v>
      </c>
      <c r="D541" t="s">
        <v>1382</v>
      </c>
      <c r="E541" t="s">
        <v>96</v>
      </c>
      <c r="F541" t="s">
        <v>1383</v>
      </c>
      <c r="G541" t="s">
        <v>396</v>
      </c>
      <c r="H541" t="str">
        <f>_xlfn.IFNA(+VLOOKUP(G541,Agrupacion!A:B,2,0),"")</f>
        <v>AGRUPADOR 3</v>
      </c>
      <c r="I541" t="str">
        <f>_xlfn.IFNA(+VLOOKUP(G541,Agrupacion!A:C,3,0),"")</f>
        <v>CABA SUR II</v>
      </c>
      <c r="J541" t="s">
        <v>15</v>
      </c>
      <c r="K541" t="s">
        <v>1384</v>
      </c>
      <c r="M541" t="s">
        <v>8</v>
      </c>
    </row>
    <row r="542" spans="1:13" x14ac:dyDescent="0.2">
      <c r="A542">
        <v>563</v>
      </c>
      <c r="B542" t="s">
        <v>2123</v>
      </c>
      <c r="C542">
        <v>1</v>
      </c>
      <c r="D542" t="s">
        <v>1385</v>
      </c>
      <c r="E542" t="s">
        <v>10</v>
      </c>
      <c r="F542" t="s">
        <v>1386</v>
      </c>
      <c r="G542" t="s">
        <v>396</v>
      </c>
      <c r="H542" t="str">
        <f>_xlfn.IFNA(+VLOOKUP(G542,Agrupacion!A:B,2,0),"")</f>
        <v>AGRUPADOR 3</v>
      </c>
      <c r="I542" t="str">
        <f>_xlfn.IFNA(+VLOOKUP(G542,Agrupacion!A:C,3,0),"")</f>
        <v>CABA SUR II</v>
      </c>
      <c r="K542" t="s">
        <v>1387</v>
      </c>
      <c r="M542" t="s">
        <v>8</v>
      </c>
    </row>
    <row r="543" spans="1:13" x14ac:dyDescent="0.2">
      <c r="A543">
        <v>564</v>
      </c>
      <c r="B543" t="s">
        <v>2124</v>
      </c>
      <c r="C543">
        <v>1</v>
      </c>
      <c r="D543" t="s">
        <v>1388</v>
      </c>
      <c r="E543" t="s">
        <v>10</v>
      </c>
      <c r="F543" t="s">
        <v>1389</v>
      </c>
      <c r="G543" t="s">
        <v>396</v>
      </c>
      <c r="H543" t="str">
        <f>_xlfn.IFNA(+VLOOKUP(G543,Agrupacion!A:B,2,0),"")</f>
        <v>AGRUPADOR 3</v>
      </c>
      <c r="I543" t="str">
        <f>_xlfn.IFNA(+VLOOKUP(G543,Agrupacion!A:C,3,0),"")</f>
        <v>CABA SUR II</v>
      </c>
      <c r="J543" t="s">
        <v>15</v>
      </c>
      <c r="K543" t="s">
        <v>1390</v>
      </c>
      <c r="M543" t="s">
        <v>8</v>
      </c>
    </row>
    <row r="544" spans="1:13" x14ac:dyDescent="0.2">
      <c r="A544">
        <v>565</v>
      </c>
      <c r="B544" t="s">
        <v>2125</v>
      </c>
      <c r="C544">
        <v>1</v>
      </c>
      <c r="D544" t="s">
        <v>1391</v>
      </c>
      <c r="E544" t="s">
        <v>10</v>
      </c>
      <c r="F544" t="s">
        <v>1392</v>
      </c>
      <c r="G544" t="s">
        <v>396</v>
      </c>
      <c r="H544" t="str">
        <f>_xlfn.IFNA(+VLOOKUP(G544,Agrupacion!A:B,2,0),"")</f>
        <v>AGRUPADOR 3</v>
      </c>
      <c r="I544" t="str">
        <f>_xlfn.IFNA(+VLOOKUP(G544,Agrupacion!A:C,3,0),"")</f>
        <v>CABA SUR II</v>
      </c>
      <c r="J544" t="s">
        <v>15</v>
      </c>
      <c r="K544" t="s">
        <v>1393</v>
      </c>
      <c r="M544" t="s">
        <v>8</v>
      </c>
    </row>
    <row r="545" spans="1:13" x14ac:dyDescent="0.2">
      <c r="A545">
        <v>566</v>
      </c>
      <c r="B545" t="s">
        <v>2126</v>
      </c>
      <c r="C545">
        <v>1</v>
      </c>
      <c r="D545" t="s">
        <v>1394</v>
      </c>
      <c r="E545" t="s">
        <v>10</v>
      </c>
      <c r="F545" t="s">
        <v>279</v>
      </c>
      <c r="G545" t="s">
        <v>396</v>
      </c>
      <c r="H545" t="str">
        <f>_xlfn.IFNA(+VLOOKUP(G545,Agrupacion!A:B,2,0),"")</f>
        <v>AGRUPADOR 3</v>
      </c>
      <c r="I545" t="str">
        <f>_xlfn.IFNA(+VLOOKUP(G545,Agrupacion!A:C,3,0),"")</f>
        <v>CABA SUR II</v>
      </c>
      <c r="J545" t="s">
        <v>15</v>
      </c>
      <c r="K545" t="s">
        <v>1395</v>
      </c>
      <c r="M545" t="s">
        <v>8</v>
      </c>
    </row>
    <row r="546" spans="1:13" x14ac:dyDescent="0.2">
      <c r="A546">
        <v>567</v>
      </c>
      <c r="B546" t="s">
        <v>2127</v>
      </c>
      <c r="C546">
        <v>1</v>
      </c>
      <c r="D546" t="s">
        <v>1396</v>
      </c>
      <c r="E546" t="s">
        <v>10</v>
      </c>
      <c r="F546" t="s">
        <v>773</v>
      </c>
      <c r="G546" t="s">
        <v>396</v>
      </c>
      <c r="H546" t="str">
        <f>_xlfn.IFNA(+VLOOKUP(G546,Agrupacion!A:B,2,0),"")</f>
        <v>AGRUPADOR 3</v>
      </c>
      <c r="I546" t="str">
        <f>_xlfn.IFNA(+VLOOKUP(G546,Agrupacion!A:C,3,0),"")</f>
        <v>CABA SUR II</v>
      </c>
      <c r="J546" t="s">
        <v>15</v>
      </c>
      <c r="K546" t="s">
        <v>42</v>
      </c>
      <c r="M546" t="s">
        <v>8</v>
      </c>
    </row>
    <row r="547" spans="1:13" x14ac:dyDescent="0.2">
      <c r="A547">
        <v>568</v>
      </c>
      <c r="B547" t="s">
        <v>2128</v>
      </c>
      <c r="C547">
        <v>1</v>
      </c>
      <c r="D547" t="s">
        <v>1397</v>
      </c>
      <c r="E547" t="s">
        <v>10</v>
      </c>
      <c r="F547" t="s">
        <v>1398</v>
      </c>
      <c r="G547" t="s">
        <v>170</v>
      </c>
      <c r="H547" t="str">
        <f>_xlfn.IFNA(+VLOOKUP(G547,Agrupacion!A:B,2,0),"")</f>
        <v>AGRUPADOR 2</v>
      </c>
      <c r="I547" t="str">
        <f>_xlfn.IFNA(+VLOOKUP(G547,Agrupacion!A:C,3,0),"")</f>
        <v>CABA SUR</v>
      </c>
      <c r="J547" t="s">
        <v>160</v>
      </c>
      <c r="K547" t="s">
        <v>1399</v>
      </c>
      <c r="M547" t="s">
        <v>8</v>
      </c>
    </row>
    <row r="548" spans="1:13" x14ac:dyDescent="0.2">
      <c r="A548">
        <v>569</v>
      </c>
      <c r="B548" t="s">
        <v>2129</v>
      </c>
      <c r="C548">
        <v>1</v>
      </c>
      <c r="D548" t="s">
        <v>1400</v>
      </c>
      <c r="E548" t="s">
        <v>10</v>
      </c>
      <c r="F548" t="s">
        <v>1401</v>
      </c>
      <c r="G548" t="s">
        <v>396</v>
      </c>
      <c r="H548" t="str">
        <f>_xlfn.IFNA(+VLOOKUP(G548,Agrupacion!A:B,2,0),"")</f>
        <v>AGRUPADOR 3</v>
      </c>
      <c r="I548" t="str">
        <f>_xlfn.IFNA(+VLOOKUP(G548,Agrupacion!A:C,3,0),"")</f>
        <v>CABA SUR II</v>
      </c>
      <c r="J548" t="s">
        <v>15</v>
      </c>
      <c r="K548" t="s">
        <v>1402</v>
      </c>
      <c r="M548" t="s">
        <v>8</v>
      </c>
    </row>
    <row r="549" spans="1:13" x14ac:dyDescent="0.2">
      <c r="A549">
        <v>570</v>
      </c>
      <c r="B549" t="s">
        <v>2130</v>
      </c>
      <c r="C549">
        <v>1</v>
      </c>
      <c r="D549" t="s">
        <v>1403</v>
      </c>
      <c r="E549" t="s">
        <v>96</v>
      </c>
      <c r="F549" t="s">
        <v>1404</v>
      </c>
      <c r="G549" t="s">
        <v>224</v>
      </c>
      <c r="H549" t="str">
        <f>_xlfn.IFNA(+VLOOKUP(G549,Agrupacion!A:B,2,0),"")</f>
        <v>AGRUPADOR 3</v>
      </c>
      <c r="I549" t="str">
        <f>_xlfn.IFNA(+VLOOKUP(G549,Agrupacion!A:C,3,0),"")</f>
        <v>CABA SUR II</v>
      </c>
      <c r="K549" t="s">
        <v>1405</v>
      </c>
      <c r="M549" t="s">
        <v>8</v>
      </c>
    </row>
    <row r="550" spans="1:13" x14ac:dyDescent="0.2">
      <c r="A550">
        <v>571</v>
      </c>
      <c r="B550" t="s">
        <v>2131</v>
      </c>
      <c r="C550">
        <v>1</v>
      </c>
      <c r="D550" t="s">
        <v>1406</v>
      </c>
      <c r="E550" t="s">
        <v>10</v>
      </c>
      <c r="F550" t="s">
        <v>1407</v>
      </c>
      <c r="G550" t="s">
        <v>170</v>
      </c>
      <c r="H550" t="str">
        <f>_xlfn.IFNA(+VLOOKUP(G550,Agrupacion!A:B,2,0),"")</f>
        <v>AGRUPADOR 2</v>
      </c>
      <c r="I550" t="str">
        <f>_xlfn.IFNA(+VLOOKUP(G550,Agrupacion!A:C,3,0),"")</f>
        <v>CABA SUR</v>
      </c>
      <c r="K550" t="s">
        <v>1408</v>
      </c>
      <c r="M550" t="s">
        <v>8</v>
      </c>
    </row>
    <row r="551" spans="1:13" x14ac:dyDescent="0.2">
      <c r="A551">
        <v>572</v>
      </c>
      <c r="B551" t="s">
        <v>2132</v>
      </c>
      <c r="C551">
        <v>1</v>
      </c>
      <c r="D551" t="s">
        <v>1409</v>
      </c>
      <c r="E551" t="s">
        <v>10</v>
      </c>
      <c r="F551" t="s">
        <v>1410</v>
      </c>
      <c r="G551" t="s">
        <v>170</v>
      </c>
      <c r="H551" t="str">
        <f>_xlfn.IFNA(+VLOOKUP(G551,Agrupacion!A:B,2,0),"")</f>
        <v>AGRUPADOR 2</v>
      </c>
      <c r="I551" t="str">
        <f>_xlfn.IFNA(+VLOOKUP(G551,Agrupacion!A:C,3,0),"")</f>
        <v>CABA SUR</v>
      </c>
      <c r="J551" t="s">
        <v>15</v>
      </c>
      <c r="K551" t="s">
        <v>1411</v>
      </c>
      <c r="L551" t="s">
        <v>1412</v>
      </c>
      <c r="M551" t="s">
        <v>8</v>
      </c>
    </row>
    <row r="552" spans="1:13" x14ac:dyDescent="0.2">
      <c r="A552">
        <v>573</v>
      </c>
      <c r="B552" t="s">
        <v>2133</v>
      </c>
      <c r="C552">
        <v>1</v>
      </c>
      <c r="D552" t="s">
        <v>1413</v>
      </c>
      <c r="E552" t="s">
        <v>96</v>
      </c>
      <c r="F552" t="s">
        <v>1414</v>
      </c>
      <c r="G552" t="s">
        <v>1415</v>
      </c>
      <c r="H552" t="str">
        <f>_xlfn.IFNA(+VLOOKUP(G552,Agrupacion!A:B,2,0),"")</f>
        <v>AGRUPADOR 8</v>
      </c>
      <c r="I552" t="str">
        <f>_xlfn.IFNA(+VLOOKUP(G552,Agrupacion!A:C,3,0),"")</f>
        <v>GBA NORTE</v>
      </c>
      <c r="J552" t="s">
        <v>1416</v>
      </c>
      <c r="K552" t="s">
        <v>1417</v>
      </c>
      <c r="M552" t="s">
        <v>8</v>
      </c>
    </row>
    <row r="553" spans="1:13" x14ac:dyDescent="0.2">
      <c r="A553">
        <v>574</v>
      </c>
      <c r="B553" t="s">
        <v>2134</v>
      </c>
      <c r="C553">
        <v>1</v>
      </c>
      <c r="D553" t="s">
        <v>1418</v>
      </c>
      <c r="E553" t="s">
        <v>10</v>
      </c>
      <c r="F553" t="s">
        <v>1419</v>
      </c>
      <c r="G553" t="s">
        <v>396</v>
      </c>
      <c r="H553" t="str">
        <f>_xlfn.IFNA(+VLOOKUP(G553,Agrupacion!A:B,2,0),"")</f>
        <v>AGRUPADOR 3</v>
      </c>
      <c r="I553" t="str">
        <f>_xlfn.IFNA(+VLOOKUP(G553,Agrupacion!A:C,3,0),"")</f>
        <v>CABA SUR II</v>
      </c>
      <c r="J553" t="s">
        <v>15</v>
      </c>
      <c r="K553" t="s">
        <v>1420</v>
      </c>
      <c r="M553" t="s">
        <v>8</v>
      </c>
    </row>
    <row r="554" spans="1:13" x14ac:dyDescent="0.2">
      <c r="A554">
        <v>575</v>
      </c>
      <c r="B554" t="s">
        <v>2135</v>
      </c>
      <c r="C554">
        <v>1</v>
      </c>
      <c r="D554" t="s">
        <v>1421</v>
      </c>
      <c r="E554" t="s">
        <v>10</v>
      </c>
      <c r="F554" t="s">
        <v>1422</v>
      </c>
      <c r="G554" t="s">
        <v>396</v>
      </c>
      <c r="H554" t="str">
        <f>_xlfn.IFNA(+VLOOKUP(G554,Agrupacion!A:B,2,0),"")</f>
        <v>AGRUPADOR 3</v>
      </c>
      <c r="I554" t="str">
        <f>_xlfn.IFNA(+VLOOKUP(G554,Agrupacion!A:C,3,0),"")</f>
        <v>CABA SUR II</v>
      </c>
      <c r="K554" t="s">
        <v>1423</v>
      </c>
      <c r="M554" t="s">
        <v>8</v>
      </c>
    </row>
    <row r="555" spans="1:13" x14ac:dyDescent="0.2">
      <c r="A555">
        <v>576</v>
      </c>
      <c r="B555" t="s">
        <v>2136</v>
      </c>
      <c r="C555">
        <v>1</v>
      </c>
      <c r="D555" t="s">
        <v>1424</v>
      </c>
      <c r="E555" t="s">
        <v>10</v>
      </c>
      <c r="F555" t="s">
        <v>1425</v>
      </c>
      <c r="G555" t="s">
        <v>2699</v>
      </c>
      <c r="H555" t="str">
        <f>_xlfn.IFNA(+VLOOKUP(G555,Agrupacion!A:B,2,0),"")</f>
        <v>AGRUPADOR 2</v>
      </c>
      <c r="I555" t="str">
        <f>_xlfn.IFNA(+VLOOKUP(G555,Agrupacion!A:C,3,0),"")</f>
        <v>CABA SUR</v>
      </c>
      <c r="K555" t="s">
        <v>1426</v>
      </c>
      <c r="M555" t="s">
        <v>8</v>
      </c>
    </row>
    <row r="556" spans="1:13" x14ac:dyDescent="0.2">
      <c r="A556">
        <v>577</v>
      </c>
      <c r="B556" t="s">
        <v>2137</v>
      </c>
      <c r="C556">
        <v>1</v>
      </c>
      <c r="D556" t="s">
        <v>1427</v>
      </c>
      <c r="E556" t="s">
        <v>10</v>
      </c>
      <c r="F556" t="s">
        <v>648</v>
      </c>
      <c r="G556" t="s">
        <v>249</v>
      </c>
      <c r="H556" t="str">
        <f>_xlfn.IFNA(+VLOOKUP(G556,Agrupacion!A:B,2,0),"")</f>
        <v>AGRUPADOR 2</v>
      </c>
      <c r="I556" t="str">
        <f>_xlfn.IFNA(+VLOOKUP(G556,Agrupacion!A:C,3,0),"")</f>
        <v>CABA SUR</v>
      </c>
      <c r="J556" t="s">
        <v>209</v>
      </c>
      <c r="K556" t="s">
        <v>649</v>
      </c>
      <c r="M556" t="s">
        <v>8</v>
      </c>
    </row>
    <row r="557" spans="1:13" x14ac:dyDescent="0.2">
      <c r="A557">
        <v>578</v>
      </c>
      <c r="B557" t="s">
        <v>2138</v>
      </c>
      <c r="C557">
        <v>1</v>
      </c>
      <c r="D557" t="s">
        <v>1428</v>
      </c>
      <c r="E557" t="s">
        <v>10</v>
      </c>
      <c r="F557" t="s">
        <v>1429</v>
      </c>
      <c r="G557" t="s">
        <v>2699</v>
      </c>
      <c r="H557" t="str">
        <f>_xlfn.IFNA(+VLOOKUP(G557,Agrupacion!A:B,2,0),"")</f>
        <v>AGRUPADOR 2</v>
      </c>
      <c r="I557" t="str">
        <f>_xlfn.IFNA(+VLOOKUP(G557,Agrupacion!A:C,3,0),"")</f>
        <v>CABA SUR</v>
      </c>
      <c r="J557" t="s">
        <v>1430</v>
      </c>
      <c r="K557" t="s">
        <v>1431</v>
      </c>
      <c r="M557" t="s">
        <v>8</v>
      </c>
    </row>
    <row r="558" spans="1:13" x14ac:dyDescent="0.2">
      <c r="A558">
        <v>579</v>
      </c>
      <c r="B558" t="s">
        <v>2139</v>
      </c>
      <c r="C558">
        <v>1</v>
      </c>
      <c r="D558" t="s">
        <v>1432</v>
      </c>
      <c r="E558" t="s">
        <v>10</v>
      </c>
      <c r="F558" t="s">
        <v>1433</v>
      </c>
      <c r="G558" t="s">
        <v>170</v>
      </c>
      <c r="H558" t="str">
        <f>_xlfn.IFNA(+VLOOKUP(G558,Agrupacion!A:B,2,0),"")</f>
        <v>AGRUPADOR 2</v>
      </c>
      <c r="I558" t="str">
        <f>_xlfn.IFNA(+VLOOKUP(G558,Agrupacion!A:C,3,0),"")</f>
        <v>CABA SUR</v>
      </c>
      <c r="J558" t="s">
        <v>15</v>
      </c>
      <c r="K558" t="s">
        <v>1434</v>
      </c>
      <c r="M558" t="s">
        <v>8</v>
      </c>
    </row>
    <row r="559" spans="1:13" x14ac:dyDescent="0.2">
      <c r="A559">
        <v>580</v>
      </c>
      <c r="B559" t="s">
        <v>2140</v>
      </c>
      <c r="C559">
        <v>1</v>
      </c>
      <c r="D559" t="s">
        <v>1437</v>
      </c>
      <c r="E559" t="s">
        <v>10</v>
      </c>
      <c r="F559" t="s">
        <v>1438</v>
      </c>
      <c r="G559" t="s">
        <v>396</v>
      </c>
      <c r="H559" t="str">
        <f>_xlfn.IFNA(+VLOOKUP(G559,Agrupacion!A:B,2,0),"")</f>
        <v>AGRUPADOR 3</v>
      </c>
      <c r="I559" t="str">
        <f>_xlfn.IFNA(+VLOOKUP(G559,Agrupacion!A:C,3,0),"")</f>
        <v>CABA SUR II</v>
      </c>
      <c r="J559" t="s">
        <v>15</v>
      </c>
      <c r="K559" t="s">
        <v>1439</v>
      </c>
      <c r="L559" t="s">
        <v>1440</v>
      </c>
      <c r="M559" t="s">
        <v>8</v>
      </c>
    </row>
    <row r="560" spans="1:13" x14ac:dyDescent="0.2">
      <c r="A560">
        <v>581</v>
      </c>
      <c r="B560" t="s">
        <v>2141</v>
      </c>
      <c r="C560">
        <v>1</v>
      </c>
      <c r="D560" t="s">
        <v>1441</v>
      </c>
      <c r="E560" t="s">
        <v>10</v>
      </c>
      <c r="F560" t="s">
        <v>1442</v>
      </c>
      <c r="G560" t="s">
        <v>170</v>
      </c>
      <c r="H560" t="str">
        <f>_xlfn.IFNA(+VLOOKUP(G560,Agrupacion!A:B,2,0),"")</f>
        <v>AGRUPADOR 2</v>
      </c>
      <c r="I560" t="str">
        <f>_xlfn.IFNA(+VLOOKUP(G560,Agrupacion!A:C,3,0),"")</f>
        <v>CABA SUR</v>
      </c>
      <c r="J560" t="s">
        <v>994</v>
      </c>
      <c r="K560" t="s">
        <v>1443</v>
      </c>
      <c r="M560" t="s">
        <v>8</v>
      </c>
    </row>
    <row r="561" spans="1:13" x14ac:dyDescent="0.2">
      <c r="A561">
        <v>582</v>
      </c>
      <c r="B561" t="s">
        <v>2142</v>
      </c>
      <c r="C561">
        <v>1</v>
      </c>
      <c r="D561" t="s">
        <v>1444</v>
      </c>
      <c r="E561" t="s">
        <v>10</v>
      </c>
      <c r="F561" t="s">
        <v>1445</v>
      </c>
      <c r="G561" t="s">
        <v>2697</v>
      </c>
      <c r="H561" t="str">
        <f>_xlfn.IFNA(+VLOOKUP(G561,Agrupacion!A:B,2,0),"")</f>
        <v>AGRUPADOR 3</v>
      </c>
      <c r="I561" t="str">
        <f>_xlfn.IFNA(+VLOOKUP(G561,Agrupacion!A:C,3,0),"")</f>
        <v>CABA SUR II</v>
      </c>
      <c r="J561" t="s">
        <v>1446</v>
      </c>
      <c r="K561" t="s">
        <v>1447</v>
      </c>
      <c r="M561" t="s">
        <v>8</v>
      </c>
    </row>
    <row r="562" spans="1:13" x14ac:dyDescent="0.2">
      <c r="A562">
        <v>583</v>
      </c>
      <c r="B562" t="s">
        <v>2143</v>
      </c>
      <c r="C562">
        <v>1</v>
      </c>
      <c r="D562" t="s">
        <v>1448</v>
      </c>
      <c r="E562" t="s">
        <v>10</v>
      </c>
      <c r="F562" t="s">
        <v>503</v>
      </c>
      <c r="G562" t="s">
        <v>396</v>
      </c>
      <c r="H562" t="str">
        <f>_xlfn.IFNA(+VLOOKUP(G562,Agrupacion!A:B,2,0),"")</f>
        <v>AGRUPADOR 3</v>
      </c>
      <c r="I562" t="str">
        <f>_xlfn.IFNA(+VLOOKUP(G562,Agrupacion!A:C,3,0),"")</f>
        <v>CABA SUR II</v>
      </c>
      <c r="J562" t="s">
        <v>15</v>
      </c>
      <c r="K562" t="s">
        <v>1449</v>
      </c>
      <c r="M562" t="s">
        <v>8</v>
      </c>
    </row>
    <row r="563" spans="1:13" x14ac:dyDescent="0.2">
      <c r="A563">
        <v>584</v>
      </c>
      <c r="B563" t="s">
        <v>1978</v>
      </c>
      <c r="C563">
        <v>1</v>
      </c>
      <c r="D563" t="s">
        <v>1450</v>
      </c>
      <c r="E563" t="s">
        <v>96</v>
      </c>
      <c r="F563" t="s">
        <v>1451</v>
      </c>
      <c r="G563" t="s">
        <v>1452</v>
      </c>
      <c r="H563" t="str">
        <f>_xlfn.IFNA(+VLOOKUP(G563,Agrupacion!A:B,2,0),"")</f>
        <v>AGRUPADOR 5</v>
      </c>
      <c r="I563" t="str">
        <f>_xlfn.IFNA(+VLOOKUP(G563,Agrupacion!A:C,3,0),"")</f>
        <v>GBA SUR II</v>
      </c>
      <c r="J563" t="s">
        <v>1453</v>
      </c>
      <c r="K563" t="s">
        <v>1454</v>
      </c>
      <c r="M563" t="s">
        <v>8</v>
      </c>
    </row>
    <row r="564" spans="1:13" x14ac:dyDescent="0.2">
      <c r="A564">
        <v>585</v>
      </c>
      <c r="B564" t="s">
        <v>1979</v>
      </c>
      <c r="C564">
        <v>1</v>
      </c>
      <c r="D564" t="s">
        <v>732</v>
      </c>
      <c r="E564" t="s">
        <v>10</v>
      </c>
      <c r="F564" t="s">
        <v>733</v>
      </c>
      <c r="G564" t="s">
        <v>396</v>
      </c>
      <c r="H564" t="str">
        <f>_xlfn.IFNA(+VLOOKUP(G564,Agrupacion!A:B,2,0),"")</f>
        <v>AGRUPADOR 3</v>
      </c>
      <c r="I564" t="str">
        <f>_xlfn.IFNA(+VLOOKUP(G564,Agrupacion!A:C,3,0),"")</f>
        <v>CABA SUR II</v>
      </c>
      <c r="J564" t="s">
        <v>15</v>
      </c>
      <c r="K564" t="s">
        <v>734</v>
      </c>
      <c r="M564" t="s">
        <v>8</v>
      </c>
    </row>
    <row r="565" spans="1:13" x14ac:dyDescent="0.2">
      <c r="A565">
        <v>586</v>
      </c>
      <c r="B565" t="s">
        <v>1980</v>
      </c>
      <c r="C565">
        <v>1</v>
      </c>
      <c r="D565" t="s">
        <v>1455</v>
      </c>
      <c r="E565" t="s">
        <v>10</v>
      </c>
      <c r="F565" t="s">
        <v>1456</v>
      </c>
      <c r="G565" t="s">
        <v>396</v>
      </c>
      <c r="H565" t="str">
        <f>_xlfn.IFNA(+VLOOKUP(G565,Agrupacion!A:B,2,0),"")</f>
        <v>AGRUPADOR 3</v>
      </c>
      <c r="I565" t="str">
        <f>_xlfn.IFNA(+VLOOKUP(G565,Agrupacion!A:C,3,0),"")</f>
        <v>CABA SUR II</v>
      </c>
      <c r="J565" t="s">
        <v>15</v>
      </c>
      <c r="M565" t="s">
        <v>8</v>
      </c>
    </row>
    <row r="566" spans="1:13" x14ac:dyDescent="0.2">
      <c r="A566">
        <v>587</v>
      </c>
      <c r="B566" t="s">
        <v>1981</v>
      </c>
      <c r="C566">
        <v>1</v>
      </c>
      <c r="D566" t="s">
        <v>1088</v>
      </c>
      <c r="E566" t="s">
        <v>96</v>
      </c>
      <c r="F566" t="s">
        <v>1089</v>
      </c>
      <c r="G566" t="s">
        <v>224</v>
      </c>
      <c r="H566" t="str">
        <f>_xlfn.IFNA(+VLOOKUP(G566,Agrupacion!A:B,2,0),"")</f>
        <v>AGRUPADOR 3</v>
      </c>
      <c r="I566" t="str">
        <f>_xlfn.IFNA(+VLOOKUP(G566,Agrupacion!A:C,3,0),"")</f>
        <v>CABA SUR II</v>
      </c>
      <c r="J566" t="s">
        <v>225</v>
      </c>
      <c r="M566" t="s">
        <v>8</v>
      </c>
    </row>
    <row r="567" spans="1:13" x14ac:dyDescent="0.2">
      <c r="A567">
        <v>588</v>
      </c>
      <c r="B567" t="s">
        <v>1982</v>
      </c>
      <c r="C567">
        <v>1</v>
      </c>
      <c r="D567" t="s">
        <v>1457</v>
      </c>
      <c r="E567" t="s">
        <v>10</v>
      </c>
      <c r="F567" t="s">
        <v>1458</v>
      </c>
      <c r="G567" t="s">
        <v>1192</v>
      </c>
      <c r="H567" t="str">
        <f>_xlfn.IFNA(+VLOOKUP(G567,Agrupacion!A:B,2,0),"")</f>
        <v>AGRUPADOR 3</v>
      </c>
      <c r="I567" t="str">
        <f>_xlfn.IFNA(+VLOOKUP(G567,Agrupacion!A:C,3,0),"")</f>
        <v>CABA SUR II</v>
      </c>
      <c r="J567" t="s">
        <v>1459</v>
      </c>
      <c r="K567" t="s">
        <v>1460</v>
      </c>
      <c r="L567" t="s">
        <v>1461</v>
      </c>
      <c r="M567" t="s">
        <v>8</v>
      </c>
    </row>
    <row r="568" spans="1:13" x14ac:dyDescent="0.2">
      <c r="A568">
        <v>589</v>
      </c>
      <c r="B568" t="s">
        <v>1983</v>
      </c>
      <c r="C568">
        <v>1</v>
      </c>
      <c r="D568" t="s">
        <v>1278</v>
      </c>
      <c r="E568" t="s">
        <v>10</v>
      </c>
      <c r="F568" t="s">
        <v>127</v>
      </c>
      <c r="G568" t="s">
        <v>396</v>
      </c>
      <c r="H568" t="str">
        <f>_xlfn.IFNA(+VLOOKUP(G568,Agrupacion!A:B,2,0),"")</f>
        <v>AGRUPADOR 3</v>
      </c>
      <c r="I568" t="str">
        <f>_xlfn.IFNA(+VLOOKUP(G568,Agrupacion!A:C,3,0),"")</f>
        <v>CABA SUR II</v>
      </c>
      <c r="J568" t="s">
        <v>15</v>
      </c>
      <c r="K568" t="s">
        <v>1462</v>
      </c>
      <c r="M568" t="s">
        <v>8</v>
      </c>
    </row>
    <row r="569" spans="1:13" x14ac:dyDescent="0.2">
      <c r="A569">
        <v>590</v>
      </c>
      <c r="B569" t="s">
        <v>1984</v>
      </c>
      <c r="C569">
        <v>1</v>
      </c>
      <c r="D569" t="s">
        <v>1463</v>
      </c>
      <c r="E569" t="s">
        <v>10</v>
      </c>
      <c r="F569" t="s">
        <v>1464</v>
      </c>
      <c r="G569" t="s">
        <v>396</v>
      </c>
      <c r="H569" t="str">
        <f>_xlfn.IFNA(+VLOOKUP(G569,Agrupacion!A:B,2,0),"")</f>
        <v>AGRUPADOR 3</v>
      </c>
      <c r="I569" t="str">
        <f>_xlfn.IFNA(+VLOOKUP(G569,Agrupacion!A:C,3,0),"")</f>
        <v>CABA SUR II</v>
      </c>
      <c r="J569" t="s">
        <v>15</v>
      </c>
      <c r="K569" t="s">
        <v>1465</v>
      </c>
      <c r="M569" t="s">
        <v>8</v>
      </c>
    </row>
    <row r="570" spans="1:13" x14ac:dyDescent="0.2">
      <c r="A570">
        <v>591</v>
      </c>
      <c r="B570" t="s">
        <v>1985</v>
      </c>
      <c r="C570">
        <v>1</v>
      </c>
      <c r="D570" t="s">
        <v>1466</v>
      </c>
      <c r="E570" t="s">
        <v>10</v>
      </c>
      <c r="F570" t="s">
        <v>1467</v>
      </c>
      <c r="G570" t="s">
        <v>396</v>
      </c>
      <c r="H570" t="str">
        <f>_xlfn.IFNA(+VLOOKUP(G570,Agrupacion!A:B,2,0),"")</f>
        <v>AGRUPADOR 3</v>
      </c>
      <c r="I570" t="str">
        <f>_xlfn.IFNA(+VLOOKUP(G570,Agrupacion!A:C,3,0),"")</f>
        <v>CABA SUR II</v>
      </c>
      <c r="J570" t="s">
        <v>15</v>
      </c>
      <c r="K570" t="s">
        <v>1468</v>
      </c>
      <c r="M570" t="s">
        <v>8</v>
      </c>
    </row>
    <row r="571" spans="1:13" x14ac:dyDescent="0.2">
      <c r="A571">
        <v>592</v>
      </c>
      <c r="B571" t="s">
        <v>1986</v>
      </c>
      <c r="C571">
        <v>1</v>
      </c>
      <c r="D571" t="s">
        <v>902</v>
      </c>
      <c r="E571" t="s">
        <v>10</v>
      </c>
      <c r="F571" t="s">
        <v>903</v>
      </c>
      <c r="G571" t="s">
        <v>396</v>
      </c>
      <c r="H571" t="str">
        <f>_xlfn.IFNA(+VLOOKUP(G571,Agrupacion!A:B,2,0),"")</f>
        <v>AGRUPADOR 3</v>
      </c>
      <c r="I571" t="str">
        <f>_xlfn.IFNA(+VLOOKUP(G571,Agrupacion!A:C,3,0),"")</f>
        <v>CABA SUR II</v>
      </c>
      <c r="J571" t="s">
        <v>15</v>
      </c>
      <c r="K571" t="s">
        <v>1469</v>
      </c>
      <c r="M571" t="s">
        <v>8</v>
      </c>
    </row>
    <row r="572" spans="1:13" x14ac:dyDescent="0.2">
      <c r="A572">
        <v>593</v>
      </c>
      <c r="B572" t="s">
        <v>1987</v>
      </c>
      <c r="C572">
        <v>1</v>
      </c>
      <c r="D572" t="s">
        <v>1470</v>
      </c>
      <c r="E572" t="s">
        <v>10</v>
      </c>
      <c r="F572" t="s">
        <v>1471</v>
      </c>
      <c r="G572" t="s">
        <v>842</v>
      </c>
      <c r="H572" t="str">
        <f>_xlfn.IFNA(+VLOOKUP(G572,Agrupacion!A:B,2,0),"")</f>
        <v>AGRUPADOR 1</v>
      </c>
      <c r="I572" t="str">
        <f>_xlfn.IFNA(+VLOOKUP(G572,Agrupacion!A:C,3,0),"")</f>
        <v>CABA NORTE</v>
      </c>
      <c r="J572" t="s">
        <v>1472</v>
      </c>
      <c r="K572" t="s">
        <v>1473</v>
      </c>
      <c r="M572" t="s">
        <v>8</v>
      </c>
    </row>
    <row r="573" spans="1:13" x14ac:dyDescent="0.2">
      <c r="A573">
        <v>594</v>
      </c>
      <c r="B573" t="s">
        <v>1988</v>
      </c>
      <c r="C573">
        <v>1</v>
      </c>
      <c r="D573" t="s">
        <v>1474</v>
      </c>
      <c r="E573" t="s">
        <v>10</v>
      </c>
      <c r="F573" t="s">
        <v>1010</v>
      </c>
      <c r="G573" t="s">
        <v>249</v>
      </c>
      <c r="H573" t="str">
        <f>_xlfn.IFNA(+VLOOKUP(G573,Agrupacion!A:B,2,0),"")</f>
        <v>AGRUPADOR 2</v>
      </c>
      <c r="I573" t="str">
        <f>_xlfn.IFNA(+VLOOKUP(G573,Agrupacion!A:C,3,0),"")</f>
        <v>CABA SUR</v>
      </c>
      <c r="K573" t="s">
        <v>1227</v>
      </c>
      <c r="M573" t="s">
        <v>8</v>
      </c>
    </row>
    <row r="574" spans="1:13" x14ac:dyDescent="0.2">
      <c r="A574">
        <v>595</v>
      </c>
      <c r="B574" t="s">
        <v>1989</v>
      </c>
      <c r="C574">
        <v>1</v>
      </c>
      <c r="D574" t="s">
        <v>1475</v>
      </c>
      <c r="E574" t="s">
        <v>10</v>
      </c>
      <c r="F574" t="s">
        <v>188</v>
      </c>
      <c r="G574" t="s">
        <v>396</v>
      </c>
      <c r="H574" t="str">
        <f>_xlfn.IFNA(+VLOOKUP(G574,Agrupacion!A:B,2,0),"")</f>
        <v>AGRUPADOR 3</v>
      </c>
      <c r="I574" t="str">
        <f>_xlfn.IFNA(+VLOOKUP(G574,Agrupacion!A:C,3,0),"")</f>
        <v>CABA SUR II</v>
      </c>
      <c r="J574" t="s">
        <v>1476</v>
      </c>
      <c r="K574" t="s">
        <v>1477</v>
      </c>
      <c r="M574" t="s">
        <v>8</v>
      </c>
    </row>
    <row r="575" spans="1:13" x14ac:dyDescent="0.2">
      <c r="A575">
        <v>596</v>
      </c>
      <c r="B575" t="s">
        <v>1990</v>
      </c>
      <c r="C575">
        <v>1</v>
      </c>
      <c r="D575" t="s">
        <v>1478</v>
      </c>
      <c r="E575" t="s">
        <v>10</v>
      </c>
      <c r="F575" t="s">
        <v>1479</v>
      </c>
      <c r="G575" t="s">
        <v>170</v>
      </c>
      <c r="H575" t="str">
        <f>_xlfn.IFNA(+VLOOKUP(G575,Agrupacion!A:B,2,0),"")</f>
        <v>AGRUPADOR 2</v>
      </c>
      <c r="I575" t="str">
        <f>_xlfn.IFNA(+VLOOKUP(G575,Agrupacion!A:C,3,0),"")</f>
        <v>CABA SUR</v>
      </c>
      <c r="J575" t="s">
        <v>15</v>
      </c>
      <c r="K575" t="s">
        <v>1480</v>
      </c>
      <c r="M575" t="s">
        <v>8</v>
      </c>
    </row>
    <row r="576" spans="1:13" x14ac:dyDescent="0.2">
      <c r="A576">
        <v>597</v>
      </c>
      <c r="B576" t="s">
        <v>1991</v>
      </c>
      <c r="C576">
        <v>1</v>
      </c>
      <c r="D576" t="s">
        <v>1481</v>
      </c>
      <c r="E576" t="s">
        <v>10</v>
      </c>
      <c r="F576" t="s">
        <v>521</v>
      </c>
      <c r="G576" t="s">
        <v>170</v>
      </c>
      <c r="H576" t="str">
        <f>_xlfn.IFNA(+VLOOKUP(G576,Agrupacion!A:B,2,0),"")</f>
        <v>AGRUPADOR 2</v>
      </c>
      <c r="I576" t="str">
        <f>_xlfn.IFNA(+VLOOKUP(G576,Agrupacion!A:C,3,0),"")</f>
        <v>CABA SUR</v>
      </c>
      <c r="J576" t="s">
        <v>1482</v>
      </c>
      <c r="M576" t="s">
        <v>8</v>
      </c>
    </row>
    <row r="577" spans="1:13" x14ac:dyDescent="0.2">
      <c r="A577">
        <v>598</v>
      </c>
      <c r="B577" t="s">
        <v>1992</v>
      </c>
      <c r="C577">
        <v>1</v>
      </c>
      <c r="D577" t="s">
        <v>1483</v>
      </c>
      <c r="E577" t="s">
        <v>10</v>
      </c>
      <c r="F577" t="s">
        <v>1484</v>
      </c>
      <c r="G577" t="s">
        <v>396</v>
      </c>
      <c r="H577" t="str">
        <f>_xlfn.IFNA(+VLOOKUP(G577,Agrupacion!A:B,2,0),"")</f>
        <v>AGRUPADOR 3</v>
      </c>
      <c r="I577" t="str">
        <f>_xlfn.IFNA(+VLOOKUP(G577,Agrupacion!A:C,3,0),"")</f>
        <v>CABA SUR II</v>
      </c>
      <c r="J577" t="s">
        <v>15</v>
      </c>
      <c r="M577" t="s">
        <v>8</v>
      </c>
    </row>
    <row r="578" spans="1:13" x14ac:dyDescent="0.2">
      <c r="A578">
        <v>599</v>
      </c>
      <c r="B578" t="s">
        <v>1993</v>
      </c>
      <c r="C578">
        <v>1</v>
      </c>
      <c r="D578" t="s">
        <v>1485</v>
      </c>
      <c r="E578" t="s">
        <v>10</v>
      </c>
      <c r="F578" t="s">
        <v>1486</v>
      </c>
      <c r="G578" t="s">
        <v>396</v>
      </c>
      <c r="H578" t="str">
        <f>_xlfn.IFNA(+VLOOKUP(G578,Agrupacion!A:B,2,0),"")</f>
        <v>AGRUPADOR 3</v>
      </c>
      <c r="I578" t="str">
        <f>_xlfn.IFNA(+VLOOKUP(G578,Agrupacion!A:C,3,0),"")</f>
        <v>CABA SUR II</v>
      </c>
      <c r="J578" t="s">
        <v>15</v>
      </c>
      <c r="M578" t="s">
        <v>8</v>
      </c>
    </row>
    <row r="579" spans="1:13" x14ac:dyDescent="0.2">
      <c r="A579">
        <v>600</v>
      </c>
      <c r="B579" t="s">
        <v>1994</v>
      </c>
      <c r="C579">
        <v>1</v>
      </c>
      <c r="D579" t="s">
        <v>1491</v>
      </c>
      <c r="E579" t="s">
        <v>10</v>
      </c>
      <c r="F579" t="s">
        <v>1492</v>
      </c>
      <c r="G579" t="s">
        <v>170</v>
      </c>
      <c r="H579" t="str">
        <f>_xlfn.IFNA(+VLOOKUP(G579,Agrupacion!A:B,2,0),"")</f>
        <v>AGRUPADOR 2</v>
      </c>
      <c r="I579" t="str">
        <f>_xlfn.IFNA(+VLOOKUP(G579,Agrupacion!A:C,3,0),"")</f>
        <v>CABA SUR</v>
      </c>
      <c r="J579" t="s">
        <v>1493</v>
      </c>
      <c r="M579" t="s">
        <v>8</v>
      </c>
    </row>
    <row r="580" spans="1:13" x14ac:dyDescent="0.2">
      <c r="A580">
        <v>601</v>
      </c>
      <c r="B580" t="s">
        <v>1995</v>
      </c>
      <c r="C580">
        <v>1</v>
      </c>
      <c r="D580" t="s">
        <v>1494</v>
      </c>
      <c r="E580" t="s">
        <v>10</v>
      </c>
      <c r="F580" t="s">
        <v>1495</v>
      </c>
      <c r="G580" t="s">
        <v>396</v>
      </c>
      <c r="H580" t="str">
        <f>_xlfn.IFNA(+VLOOKUP(G580,Agrupacion!A:B,2,0),"")</f>
        <v>AGRUPADOR 3</v>
      </c>
      <c r="I580" t="str">
        <f>_xlfn.IFNA(+VLOOKUP(G580,Agrupacion!A:C,3,0),"")</f>
        <v>CABA SUR II</v>
      </c>
      <c r="J580" t="s">
        <v>15</v>
      </c>
      <c r="K580" t="s">
        <v>1496</v>
      </c>
      <c r="M580" t="s">
        <v>8</v>
      </c>
    </row>
    <row r="581" spans="1:13" x14ac:dyDescent="0.2">
      <c r="A581">
        <v>602</v>
      </c>
      <c r="B581" t="s">
        <v>1996</v>
      </c>
      <c r="C581">
        <v>1</v>
      </c>
      <c r="D581" t="s">
        <v>1497</v>
      </c>
      <c r="E581" t="s">
        <v>10</v>
      </c>
      <c r="F581" t="s">
        <v>1498</v>
      </c>
      <c r="G581" t="s">
        <v>48</v>
      </c>
      <c r="H581" t="str">
        <f>_xlfn.IFNA(+VLOOKUP(G581,Agrupacion!A:B,2,0),"")</f>
        <v>AGRUPADOR 2</v>
      </c>
      <c r="I581" t="str">
        <f>_xlfn.IFNA(+VLOOKUP(G581,Agrupacion!A:C,3,0),"")</f>
        <v>CABA SUR</v>
      </c>
      <c r="J581" t="s">
        <v>15</v>
      </c>
      <c r="K581" t="s">
        <v>1499</v>
      </c>
      <c r="M581" t="s">
        <v>8</v>
      </c>
    </row>
    <row r="582" spans="1:13" x14ac:dyDescent="0.2">
      <c r="A582">
        <v>603</v>
      </c>
      <c r="B582" t="s">
        <v>1997</v>
      </c>
      <c r="C582">
        <v>1</v>
      </c>
      <c r="D582" t="s">
        <v>1500</v>
      </c>
      <c r="E582" t="s">
        <v>10</v>
      </c>
      <c r="F582" t="s">
        <v>1501</v>
      </c>
      <c r="G582" t="s">
        <v>396</v>
      </c>
      <c r="H582" t="str">
        <f>_xlfn.IFNA(+VLOOKUP(G582,Agrupacion!A:B,2,0),"")</f>
        <v>AGRUPADOR 3</v>
      </c>
      <c r="I582" t="str">
        <f>_xlfn.IFNA(+VLOOKUP(G582,Agrupacion!A:C,3,0),"")</f>
        <v>CABA SUR II</v>
      </c>
      <c r="J582" t="s">
        <v>15</v>
      </c>
      <c r="K582" t="s">
        <v>1502</v>
      </c>
      <c r="M582" t="s">
        <v>8</v>
      </c>
    </row>
    <row r="583" spans="1:13" x14ac:dyDescent="0.2">
      <c r="A583">
        <v>604</v>
      </c>
      <c r="B583" t="s">
        <v>1998</v>
      </c>
      <c r="C583">
        <v>1</v>
      </c>
      <c r="D583" t="s">
        <v>1503</v>
      </c>
      <c r="E583" t="s">
        <v>10</v>
      </c>
      <c r="F583" t="s">
        <v>1504</v>
      </c>
      <c r="G583" t="s">
        <v>396</v>
      </c>
      <c r="H583" t="str">
        <f>_xlfn.IFNA(+VLOOKUP(G583,Agrupacion!A:B,2,0),"")</f>
        <v>AGRUPADOR 3</v>
      </c>
      <c r="I583" t="str">
        <f>_xlfn.IFNA(+VLOOKUP(G583,Agrupacion!A:C,3,0),"")</f>
        <v>CABA SUR II</v>
      </c>
      <c r="J583" t="s">
        <v>15</v>
      </c>
      <c r="K583" t="s">
        <v>1505</v>
      </c>
      <c r="M583" t="s">
        <v>8</v>
      </c>
    </row>
    <row r="584" spans="1:13" x14ac:dyDescent="0.2">
      <c r="A584">
        <v>605</v>
      </c>
      <c r="B584" t="s">
        <v>1999</v>
      </c>
      <c r="C584">
        <v>1</v>
      </c>
      <c r="D584" t="s">
        <v>1506</v>
      </c>
      <c r="E584" t="s">
        <v>10</v>
      </c>
      <c r="F584" t="s">
        <v>1507</v>
      </c>
      <c r="G584" t="s">
        <v>396</v>
      </c>
      <c r="H584" t="str">
        <f>_xlfn.IFNA(+VLOOKUP(G584,Agrupacion!A:B,2,0),"")</f>
        <v>AGRUPADOR 3</v>
      </c>
      <c r="I584" t="str">
        <f>_xlfn.IFNA(+VLOOKUP(G584,Agrupacion!A:C,3,0),"")</f>
        <v>CABA SUR II</v>
      </c>
      <c r="J584" t="s">
        <v>15</v>
      </c>
      <c r="K584" t="s">
        <v>1508</v>
      </c>
      <c r="M584" t="s">
        <v>8</v>
      </c>
    </row>
    <row r="585" spans="1:13" x14ac:dyDescent="0.2">
      <c r="A585">
        <v>606</v>
      </c>
      <c r="B585" t="s">
        <v>2000</v>
      </c>
      <c r="C585">
        <v>1</v>
      </c>
      <c r="D585" t="s">
        <v>1509</v>
      </c>
      <c r="E585" t="s">
        <v>10</v>
      </c>
      <c r="F585" t="s">
        <v>1510</v>
      </c>
      <c r="G585" t="s">
        <v>396</v>
      </c>
      <c r="H585" t="str">
        <f>_xlfn.IFNA(+VLOOKUP(G585,Agrupacion!A:B,2,0),"")</f>
        <v>AGRUPADOR 3</v>
      </c>
      <c r="I585" t="str">
        <f>_xlfn.IFNA(+VLOOKUP(G585,Agrupacion!A:C,3,0),"")</f>
        <v>CABA SUR II</v>
      </c>
      <c r="J585" t="s">
        <v>15</v>
      </c>
      <c r="K585" t="s">
        <v>1511</v>
      </c>
      <c r="M585" t="s">
        <v>8</v>
      </c>
    </row>
    <row r="586" spans="1:13" x14ac:dyDescent="0.2">
      <c r="A586">
        <v>607</v>
      </c>
      <c r="B586" t="s">
        <v>2001</v>
      </c>
      <c r="C586">
        <v>1</v>
      </c>
      <c r="D586" t="s">
        <v>1512</v>
      </c>
      <c r="E586" t="s">
        <v>10</v>
      </c>
      <c r="F586" t="s">
        <v>1513</v>
      </c>
      <c r="G586" t="s">
        <v>396</v>
      </c>
      <c r="H586" t="str">
        <f>_xlfn.IFNA(+VLOOKUP(G586,Agrupacion!A:B,2,0),"")</f>
        <v>AGRUPADOR 3</v>
      </c>
      <c r="I586" t="str">
        <f>_xlfn.IFNA(+VLOOKUP(G586,Agrupacion!A:C,3,0),"")</f>
        <v>CABA SUR II</v>
      </c>
      <c r="J586" t="s">
        <v>15</v>
      </c>
      <c r="K586" t="s">
        <v>1514</v>
      </c>
      <c r="L586" t="s">
        <v>1515</v>
      </c>
      <c r="M586" t="s">
        <v>8</v>
      </c>
    </row>
    <row r="587" spans="1:13" x14ac:dyDescent="0.2">
      <c r="A587">
        <v>608</v>
      </c>
      <c r="B587" t="s">
        <v>2002</v>
      </c>
      <c r="C587">
        <v>1</v>
      </c>
      <c r="D587" t="s">
        <v>1114</v>
      </c>
      <c r="E587" t="s">
        <v>10</v>
      </c>
      <c r="F587" t="s">
        <v>1114</v>
      </c>
      <c r="G587" t="s">
        <v>396</v>
      </c>
      <c r="H587" t="str">
        <f>_xlfn.IFNA(+VLOOKUP(G587,Agrupacion!A:B,2,0),"")</f>
        <v>AGRUPADOR 3</v>
      </c>
      <c r="I587" t="str">
        <f>_xlfn.IFNA(+VLOOKUP(G587,Agrupacion!A:C,3,0),"")</f>
        <v>CABA SUR II</v>
      </c>
      <c r="J587" t="s">
        <v>1476</v>
      </c>
      <c r="M587" t="s">
        <v>8</v>
      </c>
    </row>
    <row r="588" spans="1:13" x14ac:dyDescent="0.2">
      <c r="A588">
        <v>609</v>
      </c>
      <c r="B588" t="s">
        <v>2003</v>
      </c>
      <c r="C588">
        <v>1</v>
      </c>
      <c r="D588" t="s">
        <v>1516</v>
      </c>
      <c r="E588" t="s">
        <v>10</v>
      </c>
      <c r="F588" t="s">
        <v>1517</v>
      </c>
      <c r="G588" t="s">
        <v>396</v>
      </c>
      <c r="H588" t="str">
        <f>_xlfn.IFNA(+VLOOKUP(G588,Agrupacion!A:B,2,0),"")</f>
        <v>AGRUPADOR 3</v>
      </c>
      <c r="I588" t="str">
        <f>_xlfn.IFNA(+VLOOKUP(G588,Agrupacion!A:C,3,0),"")</f>
        <v>CABA SUR II</v>
      </c>
      <c r="J588" t="s">
        <v>15</v>
      </c>
      <c r="K588" t="s">
        <v>1393</v>
      </c>
      <c r="M588" t="s">
        <v>8</v>
      </c>
    </row>
    <row r="589" spans="1:13" x14ac:dyDescent="0.2">
      <c r="A589">
        <v>610</v>
      </c>
      <c r="B589" t="s">
        <v>2004</v>
      </c>
      <c r="C589">
        <v>1</v>
      </c>
      <c r="D589" t="s">
        <v>1520</v>
      </c>
      <c r="E589" t="s">
        <v>96</v>
      </c>
      <c r="F589" t="s">
        <v>1521</v>
      </c>
      <c r="G589" t="s">
        <v>1747</v>
      </c>
      <c r="H589" t="str">
        <f>_xlfn.IFNA(+VLOOKUP(G589,Agrupacion!A:B,2,0),"")</f>
        <v>AGRUPADOR 5</v>
      </c>
      <c r="I589" t="str">
        <f>_xlfn.IFNA(+VLOOKUP(G589,Agrupacion!A:C,3,0),"")</f>
        <v>GBA SUR II</v>
      </c>
      <c r="J589" t="s">
        <v>1121</v>
      </c>
      <c r="K589" t="s">
        <v>1522</v>
      </c>
      <c r="L589" t="s">
        <v>1523</v>
      </c>
      <c r="M589" t="s">
        <v>8</v>
      </c>
    </row>
    <row r="590" spans="1:13" x14ac:dyDescent="0.2">
      <c r="A590">
        <v>611</v>
      </c>
      <c r="B590" t="s">
        <v>2005</v>
      </c>
      <c r="C590">
        <v>1</v>
      </c>
      <c r="D590" t="s">
        <v>1524</v>
      </c>
      <c r="E590" t="s">
        <v>10</v>
      </c>
      <c r="F590" t="s">
        <v>1525</v>
      </c>
      <c r="G590" t="s">
        <v>396</v>
      </c>
      <c r="H590" t="str">
        <f>_xlfn.IFNA(+VLOOKUP(G590,Agrupacion!A:B,2,0),"")</f>
        <v>AGRUPADOR 3</v>
      </c>
      <c r="I590" t="str">
        <f>_xlfn.IFNA(+VLOOKUP(G590,Agrupacion!A:C,3,0),"")</f>
        <v>CABA SUR II</v>
      </c>
      <c r="J590" t="s">
        <v>15</v>
      </c>
      <c r="K590" t="s">
        <v>1526</v>
      </c>
      <c r="M590" t="s">
        <v>8</v>
      </c>
    </row>
    <row r="591" spans="1:13" x14ac:dyDescent="0.2">
      <c r="A591">
        <v>612</v>
      </c>
      <c r="B591" t="s">
        <v>2006</v>
      </c>
      <c r="C591">
        <v>1</v>
      </c>
      <c r="D591" t="s">
        <v>1091</v>
      </c>
      <c r="E591" t="s">
        <v>10</v>
      </c>
      <c r="F591" t="s">
        <v>1092</v>
      </c>
      <c r="G591" t="s">
        <v>396</v>
      </c>
      <c r="H591" t="str">
        <f>_xlfn.IFNA(+VLOOKUP(G591,Agrupacion!A:B,2,0),"")</f>
        <v>AGRUPADOR 3</v>
      </c>
      <c r="I591" t="str">
        <f>_xlfn.IFNA(+VLOOKUP(G591,Agrupacion!A:C,3,0),"")</f>
        <v>CABA SUR II</v>
      </c>
      <c r="J591" t="s">
        <v>15</v>
      </c>
      <c r="K591" t="s">
        <v>1527</v>
      </c>
      <c r="M591" t="s">
        <v>8</v>
      </c>
    </row>
    <row r="592" spans="1:13" x14ac:dyDescent="0.2">
      <c r="A592">
        <v>613</v>
      </c>
      <c r="B592" t="s">
        <v>2007</v>
      </c>
      <c r="C592">
        <v>1</v>
      </c>
      <c r="D592" t="s">
        <v>1528</v>
      </c>
      <c r="E592" t="s">
        <v>10</v>
      </c>
      <c r="F592" t="s">
        <v>979</v>
      </c>
      <c r="G592" t="s">
        <v>396</v>
      </c>
      <c r="H592" t="str">
        <f>_xlfn.IFNA(+VLOOKUP(G592,Agrupacion!A:B,2,0),"")</f>
        <v>AGRUPADOR 3</v>
      </c>
      <c r="I592" t="str">
        <f>_xlfn.IFNA(+VLOOKUP(G592,Agrupacion!A:C,3,0),"")</f>
        <v>CABA SUR II</v>
      </c>
      <c r="J592" t="s">
        <v>15</v>
      </c>
      <c r="K592" t="s">
        <v>1529</v>
      </c>
      <c r="M592" t="s">
        <v>8</v>
      </c>
    </row>
    <row r="593" spans="1:13" x14ac:dyDescent="0.2">
      <c r="A593">
        <v>614</v>
      </c>
      <c r="B593" t="s">
        <v>2008</v>
      </c>
      <c r="C593">
        <v>1</v>
      </c>
      <c r="D593" t="s">
        <v>1530</v>
      </c>
      <c r="E593" t="s">
        <v>10</v>
      </c>
      <c r="F593" t="s">
        <v>1531</v>
      </c>
      <c r="G593" t="s">
        <v>2698</v>
      </c>
      <c r="H593" t="str">
        <f>_xlfn.IFNA(+VLOOKUP(G593,Agrupacion!A:B,2,0),"")</f>
        <v>AGRUPADOR 1</v>
      </c>
      <c r="I593" t="str">
        <f>_xlfn.IFNA(+VLOOKUP(G593,Agrupacion!A:C,3,0),"")</f>
        <v>CABA NORTE</v>
      </c>
      <c r="J593" t="s">
        <v>587</v>
      </c>
      <c r="K593" t="s">
        <v>1532</v>
      </c>
      <c r="M593" t="s">
        <v>8</v>
      </c>
    </row>
    <row r="594" spans="1:13" x14ac:dyDescent="0.2">
      <c r="A594">
        <v>615</v>
      </c>
      <c r="B594" t="s">
        <v>2009</v>
      </c>
      <c r="C594">
        <v>1</v>
      </c>
      <c r="D594" t="s">
        <v>1533</v>
      </c>
      <c r="E594" t="s">
        <v>10</v>
      </c>
      <c r="F594" t="s">
        <v>1534</v>
      </c>
      <c r="G594" t="s">
        <v>396</v>
      </c>
      <c r="H594" t="str">
        <f>_xlfn.IFNA(+VLOOKUP(G594,Agrupacion!A:B,2,0),"")</f>
        <v>AGRUPADOR 3</v>
      </c>
      <c r="I594" t="str">
        <f>_xlfn.IFNA(+VLOOKUP(G594,Agrupacion!A:C,3,0),"")</f>
        <v>CABA SUR II</v>
      </c>
      <c r="J594" t="s">
        <v>15</v>
      </c>
      <c r="K594" t="s">
        <v>1535</v>
      </c>
      <c r="M594" t="s">
        <v>8</v>
      </c>
    </row>
    <row r="595" spans="1:13" x14ac:dyDescent="0.2">
      <c r="A595">
        <v>616</v>
      </c>
      <c r="B595" t="s">
        <v>2010</v>
      </c>
      <c r="C595">
        <v>1</v>
      </c>
      <c r="D595" t="s">
        <v>1536</v>
      </c>
      <c r="E595" t="s">
        <v>10</v>
      </c>
      <c r="F595" t="s">
        <v>1537</v>
      </c>
      <c r="G595" t="s">
        <v>842</v>
      </c>
      <c r="H595" t="str">
        <f>_xlfn.IFNA(+VLOOKUP(G595,Agrupacion!A:B,2,0),"")</f>
        <v>AGRUPADOR 1</v>
      </c>
      <c r="I595" t="str">
        <f>_xlfn.IFNA(+VLOOKUP(G595,Agrupacion!A:C,3,0),"")</f>
        <v>CABA NORTE</v>
      </c>
      <c r="J595" t="s">
        <v>1538</v>
      </c>
      <c r="K595" t="s">
        <v>1539</v>
      </c>
      <c r="M595" t="s">
        <v>8</v>
      </c>
    </row>
    <row r="596" spans="1:13" x14ac:dyDescent="0.2">
      <c r="A596">
        <v>617</v>
      </c>
      <c r="B596" t="s">
        <v>2011</v>
      </c>
      <c r="C596">
        <v>1</v>
      </c>
      <c r="D596" t="s">
        <v>1540</v>
      </c>
      <c r="E596" t="s">
        <v>10</v>
      </c>
      <c r="F596" t="s">
        <v>1541</v>
      </c>
      <c r="G596" t="s">
        <v>396</v>
      </c>
      <c r="H596" t="str">
        <f>_xlfn.IFNA(+VLOOKUP(G596,Agrupacion!A:B,2,0),"")</f>
        <v>AGRUPADOR 3</v>
      </c>
      <c r="I596" t="str">
        <f>_xlfn.IFNA(+VLOOKUP(G596,Agrupacion!A:C,3,0),"")</f>
        <v>CABA SUR II</v>
      </c>
      <c r="J596" t="s">
        <v>15</v>
      </c>
      <c r="K596" t="s">
        <v>1542</v>
      </c>
      <c r="M596" t="s">
        <v>8</v>
      </c>
    </row>
    <row r="597" spans="1:13" x14ac:dyDescent="0.2">
      <c r="A597">
        <v>618</v>
      </c>
      <c r="B597" t="s">
        <v>2012</v>
      </c>
      <c r="C597">
        <v>1</v>
      </c>
      <c r="D597" t="s">
        <v>1543</v>
      </c>
      <c r="E597" t="s">
        <v>10</v>
      </c>
      <c r="F597" t="s">
        <v>1544</v>
      </c>
      <c r="G597" t="s">
        <v>396</v>
      </c>
      <c r="H597" t="str">
        <f>_xlfn.IFNA(+VLOOKUP(G597,Agrupacion!A:B,2,0),"")</f>
        <v>AGRUPADOR 3</v>
      </c>
      <c r="I597" t="str">
        <f>_xlfn.IFNA(+VLOOKUP(G597,Agrupacion!A:C,3,0),"")</f>
        <v>CABA SUR II</v>
      </c>
      <c r="J597" t="s">
        <v>15</v>
      </c>
      <c r="K597" t="s">
        <v>1545</v>
      </c>
      <c r="M597" t="s">
        <v>8</v>
      </c>
    </row>
    <row r="598" spans="1:13" x14ac:dyDescent="0.2">
      <c r="A598">
        <v>619</v>
      </c>
      <c r="B598" t="s">
        <v>2013</v>
      </c>
      <c r="C598">
        <v>1</v>
      </c>
      <c r="D598" t="s">
        <v>1546</v>
      </c>
      <c r="E598" t="s">
        <v>10</v>
      </c>
      <c r="F598" t="s">
        <v>1467</v>
      </c>
      <c r="G598" t="s">
        <v>396</v>
      </c>
      <c r="H598" t="str">
        <f>_xlfn.IFNA(+VLOOKUP(G598,Agrupacion!A:B,2,0),"")</f>
        <v>AGRUPADOR 3</v>
      </c>
      <c r="I598" t="str">
        <f>_xlfn.IFNA(+VLOOKUP(G598,Agrupacion!A:C,3,0),"")</f>
        <v>CABA SUR II</v>
      </c>
      <c r="J598" t="s">
        <v>15</v>
      </c>
      <c r="M598" t="s">
        <v>8</v>
      </c>
    </row>
    <row r="599" spans="1:13" x14ac:dyDescent="0.2">
      <c r="A599">
        <v>620</v>
      </c>
      <c r="B599" t="s">
        <v>2014</v>
      </c>
      <c r="C599">
        <v>1</v>
      </c>
      <c r="D599" t="s">
        <v>1549</v>
      </c>
      <c r="E599" t="s">
        <v>10</v>
      </c>
      <c r="F599" t="s">
        <v>1550</v>
      </c>
      <c r="G599" t="s">
        <v>396</v>
      </c>
      <c r="H599" t="str">
        <f>_xlfn.IFNA(+VLOOKUP(G599,Agrupacion!A:B,2,0),"")</f>
        <v>AGRUPADOR 3</v>
      </c>
      <c r="I599" t="str">
        <f>_xlfn.IFNA(+VLOOKUP(G599,Agrupacion!A:C,3,0),"")</f>
        <v>CABA SUR II</v>
      </c>
      <c r="J599" t="s">
        <v>15</v>
      </c>
      <c r="K599" t="s">
        <v>1551</v>
      </c>
      <c r="M599" t="s">
        <v>8</v>
      </c>
    </row>
    <row r="600" spans="1:13" x14ac:dyDescent="0.2">
      <c r="A600">
        <v>621</v>
      </c>
      <c r="B600" t="s">
        <v>2015</v>
      </c>
      <c r="C600">
        <v>1</v>
      </c>
      <c r="D600" t="s">
        <v>1552</v>
      </c>
      <c r="E600" t="s">
        <v>10</v>
      </c>
      <c r="F600" t="s">
        <v>1553</v>
      </c>
      <c r="G600" t="s">
        <v>170</v>
      </c>
      <c r="H600" t="str">
        <f>_xlfn.IFNA(+VLOOKUP(G600,Agrupacion!A:B,2,0),"")</f>
        <v>AGRUPADOR 2</v>
      </c>
      <c r="I600" t="str">
        <f>_xlfn.IFNA(+VLOOKUP(G600,Agrupacion!A:C,3,0),"")</f>
        <v>CABA SUR</v>
      </c>
      <c r="J600" t="s">
        <v>15</v>
      </c>
      <c r="K600" t="s">
        <v>1554</v>
      </c>
      <c r="M600" t="s">
        <v>8</v>
      </c>
    </row>
    <row r="601" spans="1:13" x14ac:dyDescent="0.2">
      <c r="A601">
        <v>622</v>
      </c>
      <c r="B601" t="s">
        <v>2016</v>
      </c>
      <c r="C601">
        <v>1</v>
      </c>
      <c r="D601" t="s">
        <v>1555</v>
      </c>
      <c r="E601" t="s">
        <v>10</v>
      </c>
      <c r="F601" t="s">
        <v>1556</v>
      </c>
      <c r="G601" t="s">
        <v>1192</v>
      </c>
      <c r="H601" t="str">
        <f>_xlfn.IFNA(+VLOOKUP(G601,Agrupacion!A:B,2,0),"")</f>
        <v>AGRUPADOR 3</v>
      </c>
      <c r="I601" t="str">
        <f>_xlfn.IFNA(+VLOOKUP(G601,Agrupacion!A:C,3,0),"")</f>
        <v>CABA SUR II</v>
      </c>
      <c r="J601" t="s">
        <v>15</v>
      </c>
      <c r="K601" t="s">
        <v>1557</v>
      </c>
      <c r="M601" t="s">
        <v>8</v>
      </c>
    </row>
    <row r="602" spans="1:13" x14ac:dyDescent="0.2">
      <c r="A602">
        <v>623</v>
      </c>
      <c r="B602" t="s">
        <v>2017</v>
      </c>
      <c r="C602">
        <v>1</v>
      </c>
      <c r="D602" t="s">
        <v>1349</v>
      </c>
      <c r="E602" t="s">
        <v>10</v>
      </c>
      <c r="F602" t="s">
        <v>1079</v>
      </c>
      <c r="G602" t="s">
        <v>396</v>
      </c>
      <c r="H602" t="str">
        <f>_xlfn.IFNA(+VLOOKUP(G602,Agrupacion!A:B,2,0),"")</f>
        <v>AGRUPADOR 3</v>
      </c>
      <c r="I602" t="str">
        <f>_xlfn.IFNA(+VLOOKUP(G602,Agrupacion!A:C,3,0),"")</f>
        <v>CABA SUR II</v>
      </c>
      <c r="J602" t="s">
        <v>15</v>
      </c>
      <c r="K602" t="s">
        <v>1558</v>
      </c>
      <c r="M602" t="s">
        <v>8</v>
      </c>
    </row>
    <row r="603" spans="1:13" x14ac:dyDescent="0.2">
      <c r="A603">
        <v>624</v>
      </c>
      <c r="B603" t="s">
        <v>2018</v>
      </c>
      <c r="C603">
        <v>1</v>
      </c>
      <c r="D603" t="s">
        <v>1559</v>
      </c>
      <c r="E603" t="s">
        <v>10</v>
      </c>
      <c r="F603" t="s">
        <v>1560</v>
      </c>
      <c r="G603" t="s">
        <v>396</v>
      </c>
      <c r="H603" t="str">
        <f>_xlfn.IFNA(+VLOOKUP(G603,Agrupacion!A:B,2,0),"")</f>
        <v>AGRUPADOR 3</v>
      </c>
      <c r="I603" t="str">
        <f>_xlfn.IFNA(+VLOOKUP(G603,Agrupacion!A:C,3,0),"")</f>
        <v>CABA SUR II</v>
      </c>
      <c r="J603" t="s">
        <v>15</v>
      </c>
      <c r="K603" t="s">
        <v>1561</v>
      </c>
      <c r="M603" t="s">
        <v>8</v>
      </c>
    </row>
    <row r="604" spans="1:13" x14ac:dyDescent="0.2">
      <c r="A604">
        <v>625</v>
      </c>
      <c r="B604" t="s">
        <v>2019</v>
      </c>
      <c r="C604">
        <v>1</v>
      </c>
      <c r="D604" t="s">
        <v>1562</v>
      </c>
      <c r="E604" t="s">
        <v>10</v>
      </c>
      <c r="F604" t="s">
        <v>1563</v>
      </c>
      <c r="G604" t="s">
        <v>249</v>
      </c>
      <c r="H604" t="str">
        <f>_xlfn.IFNA(+VLOOKUP(G604,Agrupacion!A:B,2,0),"")</f>
        <v>AGRUPADOR 2</v>
      </c>
      <c r="I604" t="str">
        <f>_xlfn.IFNA(+VLOOKUP(G604,Agrupacion!A:C,3,0),"")</f>
        <v>CABA SUR</v>
      </c>
      <c r="J604" t="s">
        <v>15</v>
      </c>
      <c r="K604" t="s">
        <v>1564</v>
      </c>
      <c r="M604" t="s">
        <v>8</v>
      </c>
    </row>
    <row r="605" spans="1:13" x14ac:dyDescent="0.2">
      <c r="A605">
        <v>626</v>
      </c>
      <c r="B605" t="s">
        <v>2020</v>
      </c>
      <c r="C605">
        <v>1</v>
      </c>
      <c r="D605" t="s">
        <v>1565</v>
      </c>
      <c r="E605" t="s">
        <v>10</v>
      </c>
      <c r="F605" t="s">
        <v>1566</v>
      </c>
      <c r="G605" t="s">
        <v>396</v>
      </c>
      <c r="H605" t="str">
        <f>_xlfn.IFNA(+VLOOKUP(G605,Agrupacion!A:B,2,0),"")</f>
        <v>AGRUPADOR 3</v>
      </c>
      <c r="I605" t="str">
        <f>_xlfn.IFNA(+VLOOKUP(G605,Agrupacion!A:C,3,0),"")</f>
        <v>CABA SUR II</v>
      </c>
      <c r="J605" t="s">
        <v>15</v>
      </c>
      <c r="K605" t="s">
        <v>1567</v>
      </c>
      <c r="M605" t="s">
        <v>8</v>
      </c>
    </row>
    <row r="606" spans="1:13" x14ac:dyDescent="0.2">
      <c r="A606">
        <v>627</v>
      </c>
      <c r="B606" t="s">
        <v>2021</v>
      </c>
      <c r="C606">
        <v>1</v>
      </c>
      <c r="D606" t="s">
        <v>1568</v>
      </c>
      <c r="E606" t="s">
        <v>10</v>
      </c>
      <c r="F606" t="s">
        <v>1569</v>
      </c>
      <c r="G606" t="s">
        <v>396</v>
      </c>
      <c r="H606" t="str">
        <f>_xlfn.IFNA(+VLOOKUP(G606,Agrupacion!A:B,2,0),"")</f>
        <v>AGRUPADOR 3</v>
      </c>
      <c r="I606" t="str">
        <f>_xlfn.IFNA(+VLOOKUP(G606,Agrupacion!A:C,3,0),"")</f>
        <v>CABA SUR II</v>
      </c>
      <c r="J606" t="s">
        <v>15</v>
      </c>
      <c r="K606" t="s">
        <v>1570</v>
      </c>
      <c r="M606" t="s">
        <v>8</v>
      </c>
    </row>
    <row r="607" spans="1:13" x14ac:dyDescent="0.2">
      <c r="A607">
        <v>628</v>
      </c>
      <c r="B607" t="s">
        <v>2022</v>
      </c>
      <c r="C607">
        <v>1</v>
      </c>
      <c r="D607" t="s">
        <v>72</v>
      </c>
      <c r="E607" t="s">
        <v>10</v>
      </c>
      <c r="F607" t="s">
        <v>73</v>
      </c>
      <c r="G607" t="s">
        <v>396</v>
      </c>
      <c r="H607" t="str">
        <f>_xlfn.IFNA(+VLOOKUP(G607,Agrupacion!A:B,2,0),"")</f>
        <v>AGRUPADOR 3</v>
      </c>
      <c r="I607" t="str">
        <f>_xlfn.IFNA(+VLOOKUP(G607,Agrupacion!A:C,3,0),"")</f>
        <v>CABA SUR II</v>
      </c>
      <c r="J607" t="s">
        <v>15</v>
      </c>
      <c r="K607" t="s">
        <v>206</v>
      </c>
      <c r="M607" t="s">
        <v>8</v>
      </c>
    </row>
    <row r="608" spans="1:13" x14ac:dyDescent="0.2">
      <c r="A608">
        <v>629</v>
      </c>
      <c r="B608" t="s">
        <v>2023</v>
      </c>
      <c r="C608">
        <v>1</v>
      </c>
      <c r="D608" t="s">
        <v>1571</v>
      </c>
      <c r="E608" t="s">
        <v>10</v>
      </c>
      <c r="F608" t="s">
        <v>677</v>
      </c>
      <c r="G608" t="s">
        <v>396</v>
      </c>
      <c r="H608" t="str">
        <f>_xlfn.IFNA(+VLOOKUP(G608,Agrupacion!A:B,2,0),"")</f>
        <v>AGRUPADOR 3</v>
      </c>
      <c r="I608" t="str">
        <f>_xlfn.IFNA(+VLOOKUP(G608,Agrupacion!A:C,3,0),"")</f>
        <v>CABA SUR II</v>
      </c>
      <c r="J608" t="s">
        <v>15</v>
      </c>
      <c r="K608" t="s">
        <v>1572</v>
      </c>
      <c r="M608" t="s">
        <v>8</v>
      </c>
    </row>
    <row r="609" spans="1:13" x14ac:dyDescent="0.2">
      <c r="A609">
        <v>630</v>
      </c>
      <c r="B609" t="s">
        <v>2024</v>
      </c>
      <c r="C609">
        <v>1</v>
      </c>
      <c r="D609" t="s">
        <v>1575</v>
      </c>
      <c r="E609" t="s">
        <v>96</v>
      </c>
      <c r="F609" t="s">
        <v>1576</v>
      </c>
      <c r="G609" t="s">
        <v>1577</v>
      </c>
      <c r="H609" t="str">
        <f>_xlfn.IFNA(+VLOOKUP(G609,Agrupacion!A:B,2,0),"")</f>
        <v>AGRUPADOR 8</v>
      </c>
      <c r="I609" t="str">
        <f>_xlfn.IFNA(+VLOOKUP(G609,Agrupacion!A:C,3,0),"")</f>
        <v>GBA NORTE</v>
      </c>
      <c r="J609" t="s">
        <v>1578</v>
      </c>
      <c r="K609" t="s">
        <v>1579</v>
      </c>
      <c r="M609" t="s">
        <v>8</v>
      </c>
    </row>
    <row r="610" spans="1:13" x14ac:dyDescent="0.2">
      <c r="A610">
        <v>631</v>
      </c>
      <c r="B610" t="s">
        <v>2025</v>
      </c>
      <c r="C610">
        <v>1</v>
      </c>
      <c r="D610" t="s">
        <v>1580</v>
      </c>
      <c r="E610" t="s">
        <v>10</v>
      </c>
      <c r="F610" t="s">
        <v>11</v>
      </c>
      <c r="G610" t="s">
        <v>1192</v>
      </c>
      <c r="H610" t="str">
        <f>_xlfn.IFNA(+VLOOKUP(G610,Agrupacion!A:B,2,0),"")</f>
        <v>AGRUPADOR 3</v>
      </c>
      <c r="I610" t="str">
        <f>_xlfn.IFNA(+VLOOKUP(G610,Agrupacion!A:C,3,0),"")</f>
        <v>CABA SUR II</v>
      </c>
      <c r="J610" t="s">
        <v>12</v>
      </c>
      <c r="K610" t="s">
        <v>1581</v>
      </c>
      <c r="M610" t="s">
        <v>8</v>
      </c>
    </row>
    <row r="611" spans="1:13" x14ac:dyDescent="0.2">
      <c r="A611">
        <v>632</v>
      </c>
      <c r="B611" t="s">
        <v>2026</v>
      </c>
      <c r="C611">
        <v>1</v>
      </c>
      <c r="D611" t="s">
        <v>984</v>
      </c>
      <c r="E611" t="s">
        <v>10</v>
      </c>
      <c r="F611" t="s">
        <v>61</v>
      </c>
      <c r="G611" t="s">
        <v>396</v>
      </c>
      <c r="H611" t="str">
        <f>_xlfn.IFNA(+VLOOKUP(G611,Agrupacion!A:B,2,0),"")</f>
        <v>AGRUPADOR 3</v>
      </c>
      <c r="I611" t="str">
        <f>_xlfn.IFNA(+VLOOKUP(G611,Agrupacion!A:C,3,0),"")</f>
        <v>CABA SUR II</v>
      </c>
      <c r="J611" t="s">
        <v>15</v>
      </c>
      <c r="K611" t="s">
        <v>1582</v>
      </c>
      <c r="M611" t="s">
        <v>8</v>
      </c>
    </row>
    <row r="612" spans="1:13" x14ac:dyDescent="0.2">
      <c r="A612">
        <v>633</v>
      </c>
      <c r="B612" t="s">
        <v>2027</v>
      </c>
      <c r="C612">
        <v>1</v>
      </c>
      <c r="D612" t="s">
        <v>1583</v>
      </c>
      <c r="E612" t="s">
        <v>96</v>
      </c>
      <c r="F612" t="s">
        <v>1584</v>
      </c>
      <c r="G612" t="s">
        <v>723</v>
      </c>
      <c r="H612" t="str">
        <f>_xlfn.IFNA(+VLOOKUP(G612,Agrupacion!A:B,2,0),"")</f>
        <v>AGRUPADOR 8</v>
      </c>
      <c r="I612" t="str">
        <f>_xlfn.IFNA(+VLOOKUP(G612,Agrupacion!A:C,3,0),"")</f>
        <v>GBA NORTE</v>
      </c>
      <c r="J612" t="s">
        <v>724</v>
      </c>
      <c r="K612" t="s">
        <v>1585</v>
      </c>
      <c r="M612" t="s">
        <v>8</v>
      </c>
    </row>
    <row r="613" spans="1:13" x14ac:dyDescent="0.2">
      <c r="A613">
        <v>634</v>
      </c>
      <c r="B613" t="s">
        <v>2028</v>
      </c>
      <c r="C613">
        <v>1</v>
      </c>
      <c r="D613" t="s">
        <v>1586</v>
      </c>
      <c r="E613" t="s">
        <v>10</v>
      </c>
      <c r="F613" t="s">
        <v>1534</v>
      </c>
      <c r="G613" t="s">
        <v>396</v>
      </c>
      <c r="H613" t="str">
        <f>_xlfn.IFNA(+VLOOKUP(G613,Agrupacion!A:B,2,0),"")</f>
        <v>AGRUPADOR 3</v>
      </c>
      <c r="I613" t="str">
        <f>_xlfn.IFNA(+VLOOKUP(G613,Agrupacion!A:C,3,0),"")</f>
        <v>CABA SUR II</v>
      </c>
      <c r="J613" t="s">
        <v>15</v>
      </c>
      <c r="K613" t="s">
        <v>1587</v>
      </c>
      <c r="M613" t="s">
        <v>8</v>
      </c>
    </row>
    <row r="614" spans="1:13" x14ac:dyDescent="0.2">
      <c r="A614">
        <v>635</v>
      </c>
      <c r="B614" t="s">
        <v>2029</v>
      </c>
      <c r="C614">
        <v>1</v>
      </c>
      <c r="D614" t="s">
        <v>1588</v>
      </c>
      <c r="E614" t="s">
        <v>10</v>
      </c>
      <c r="F614" t="s">
        <v>1589</v>
      </c>
      <c r="G614" t="s">
        <v>396</v>
      </c>
      <c r="H614" t="str">
        <f>_xlfn.IFNA(+VLOOKUP(G614,Agrupacion!A:B,2,0),"")</f>
        <v>AGRUPADOR 3</v>
      </c>
      <c r="I614" t="str">
        <f>_xlfn.IFNA(+VLOOKUP(G614,Agrupacion!A:C,3,0),"")</f>
        <v>CABA SUR II</v>
      </c>
      <c r="J614" t="s">
        <v>15</v>
      </c>
      <c r="K614" t="s">
        <v>1590</v>
      </c>
      <c r="M614" t="s">
        <v>8</v>
      </c>
    </row>
    <row r="615" spans="1:13" x14ac:dyDescent="0.2">
      <c r="A615">
        <v>636</v>
      </c>
      <c r="B615" t="s">
        <v>2030</v>
      </c>
      <c r="C615">
        <v>1</v>
      </c>
      <c r="D615" t="s">
        <v>1591</v>
      </c>
      <c r="E615" t="s">
        <v>10</v>
      </c>
      <c r="F615" t="s">
        <v>1592</v>
      </c>
      <c r="G615" t="s">
        <v>396</v>
      </c>
      <c r="H615" t="str">
        <f>_xlfn.IFNA(+VLOOKUP(G615,Agrupacion!A:B,2,0),"")</f>
        <v>AGRUPADOR 3</v>
      </c>
      <c r="I615" t="str">
        <f>_xlfn.IFNA(+VLOOKUP(G615,Agrupacion!A:C,3,0),"")</f>
        <v>CABA SUR II</v>
      </c>
      <c r="J615" t="s">
        <v>15</v>
      </c>
      <c r="M615" t="s">
        <v>8</v>
      </c>
    </row>
    <row r="616" spans="1:13" x14ac:dyDescent="0.2">
      <c r="A616">
        <v>637</v>
      </c>
      <c r="B616" t="s">
        <v>2031</v>
      </c>
      <c r="C616">
        <v>1</v>
      </c>
      <c r="D616" t="s">
        <v>1593</v>
      </c>
      <c r="E616" t="s">
        <v>96</v>
      </c>
      <c r="F616" t="s">
        <v>1594</v>
      </c>
      <c r="G616" t="s">
        <v>1595</v>
      </c>
      <c r="H616" t="str">
        <f>_xlfn.IFNA(+VLOOKUP(G616,Agrupacion!A:B,2,0),"")</f>
        <v>AGRUPADOR 5</v>
      </c>
      <c r="I616" t="str">
        <f>_xlfn.IFNA(+VLOOKUP(G616,Agrupacion!A:C,3,0),"")</f>
        <v>GBA SUR II</v>
      </c>
      <c r="J616" t="s">
        <v>1596</v>
      </c>
      <c r="K616" t="s">
        <v>387</v>
      </c>
      <c r="M616" t="s">
        <v>8</v>
      </c>
    </row>
    <row r="617" spans="1:13" x14ac:dyDescent="0.2">
      <c r="A617">
        <v>639</v>
      </c>
      <c r="B617" t="s">
        <v>2032</v>
      </c>
      <c r="C617">
        <v>1</v>
      </c>
      <c r="D617" t="s">
        <v>1597</v>
      </c>
      <c r="E617" t="s">
        <v>96</v>
      </c>
      <c r="F617" t="s">
        <v>1598</v>
      </c>
      <c r="G617" t="s">
        <v>170</v>
      </c>
      <c r="H617" t="str">
        <f>_xlfn.IFNA(+VLOOKUP(G617,Agrupacion!A:B,2,0),"")</f>
        <v>AGRUPADOR 2</v>
      </c>
      <c r="I617" t="str">
        <f>_xlfn.IFNA(+VLOOKUP(G617,Agrupacion!A:C,3,0),"")</f>
        <v>CABA SUR</v>
      </c>
      <c r="J617" t="s">
        <v>15</v>
      </c>
      <c r="K617" t="s">
        <v>1599</v>
      </c>
      <c r="M617" t="s">
        <v>8</v>
      </c>
    </row>
    <row r="618" spans="1:13" x14ac:dyDescent="0.2">
      <c r="A618">
        <v>640</v>
      </c>
      <c r="B618" t="s">
        <v>2033</v>
      </c>
      <c r="C618">
        <v>1</v>
      </c>
      <c r="D618" t="s">
        <v>1600</v>
      </c>
      <c r="E618" t="s">
        <v>10</v>
      </c>
      <c r="F618" t="s">
        <v>1601</v>
      </c>
      <c r="G618" t="s">
        <v>48</v>
      </c>
      <c r="H618" t="str">
        <f>_xlfn.IFNA(+VLOOKUP(G618,Agrupacion!A:B,2,0),"")</f>
        <v>AGRUPADOR 2</v>
      </c>
      <c r="I618" t="str">
        <f>_xlfn.IFNA(+VLOOKUP(G618,Agrupacion!A:C,3,0),"")</f>
        <v>CABA SUR</v>
      </c>
      <c r="J618" t="s">
        <v>15</v>
      </c>
      <c r="K618" t="s">
        <v>1602</v>
      </c>
      <c r="M618" t="s">
        <v>8</v>
      </c>
    </row>
    <row r="619" spans="1:13" x14ac:dyDescent="0.2">
      <c r="A619">
        <v>641</v>
      </c>
      <c r="B619" t="s">
        <v>2034</v>
      </c>
      <c r="C619">
        <v>1</v>
      </c>
      <c r="D619" t="s">
        <v>1603</v>
      </c>
      <c r="E619" t="s">
        <v>10</v>
      </c>
      <c r="F619" t="s">
        <v>1604</v>
      </c>
      <c r="G619" t="s">
        <v>396</v>
      </c>
      <c r="H619" t="str">
        <f>_xlfn.IFNA(+VLOOKUP(G619,Agrupacion!A:B,2,0),"")</f>
        <v>AGRUPADOR 3</v>
      </c>
      <c r="I619" t="str">
        <f>_xlfn.IFNA(+VLOOKUP(G619,Agrupacion!A:C,3,0),"")</f>
        <v>CABA SUR II</v>
      </c>
      <c r="J619" t="s">
        <v>15</v>
      </c>
      <c r="K619" t="s">
        <v>1605</v>
      </c>
      <c r="M619" t="s">
        <v>8</v>
      </c>
    </row>
    <row r="620" spans="1:13" x14ac:dyDescent="0.2">
      <c r="A620">
        <v>642</v>
      </c>
      <c r="B620" t="s">
        <v>2035</v>
      </c>
      <c r="C620">
        <v>1</v>
      </c>
      <c r="D620" t="s">
        <v>1606</v>
      </c>
      <c r="E620" t="s">
        <v>10</v>
      </c>
      <c r="F620" t="s">
        <v>1607</v>
      </c>
      <c r="G620" t="s">
        <v>396</v>
      </c>
      <c r="H620" t="str">
        <f>_xlfn.IFNA(+VLOOKUP(G620,Agrupacion!A:B,2,0),"")</f>
        <v>AGRUPADOR 3</v>
      </c>
      <c r="I620" t="str">
        <f>_xlfn.IFNA(+VLOOKUP(G620,Agrupacion!A:C,3,0),"")</f>
        <v>CABA SUR II</v>
      </c>
      <c r="J620" t="s">
        <v>15</v>
      </c>
      <c r="K620" t="s">
        <v>1608</v>
      </c>
      <c r="M620" t="s">
        <v>8</v>
      </c>
    </row>
    <row r="621" spans="1:13" x14ac:dyDescent="0.2">
      <c r="A621">
        <v>643</v>
      </c>
      <c r="B621" t="s">
        <v>2036</v>
      </c>
      <c r="C621">
        <v>1</v>
      </c>
      <c r="D621" t="s">
        <v>1609</v>
      </c>
      <c r="E621" t="s">
        <v>96</v>
      </c>
      <c r="F621" t="s">
        <v>1610</v>
      </c>
      <c r="G621" t="s">
        <v>1611</v>
      </c>
      <c r="H621" t="str">
        <f>_xlfn.IFNA(+VLOOKUP(G621,Agrupacion!A:B,2,0),"")</f>
        <v>AGRUPADOR 8</v>
      </c>
      <c r="I621" t="str">
        <f>_xlfn.IFNA(+VLOOKUP(G621,Agrupacion!A:C,3,0),"")</f>
        <v>GBA NORTE</v>
      </c>
      <c r="K621" t="s">
        <v>1612</v>
      </c>
      <c r="M621" t="s">
        <v>8</v>
      </c>
    </row>
    <row r="622" spans="1:13" x14ac:dyDescent="0.2">
      <c r="A622">
        <v>644</v>
      </c>
      <c r="B622" t="s">
        <v>2037</v>
      </c>
      <c r="C622">
        <v>1</v>
      </c>
      <c r="D622" t="s">
        <v>1503</v>
      </c>
      <c r="E622" t="s">
        <v>10</v>
      </c>
      <c r="F622" t="s">
        <v>1504</v>
      </c>
      <c r="G622" t="s">
        <v>396</v>
      </c>
      <c r="H622" t="str">
        <f>_xlfn.IFNA(+VLOOKUP(G622,Agrupacion!A:B,2,0),"")</f>
        <v>AGRUPADOR 3</v>
      </c>
      <c r="I622" t="str">
        <f>_xlfn.IFNA(+VLOOKUP(G622,Agrupacion!A:C,3,0),"")</f>
        <v>CABA SUR II</v>
      </c>
      <c r="J622" t="s">
        <v>15</v>
      </c>
      <c r="M622" t="s">
        <v>8</v>
      </c>
    </row>
    <row r="623" spans="1:13" x14ac:dyDescent="0.2">
      <c r="A623">
        <v>645</v>
      </c>
      <c r="B623" t="s">
        <v>2038</v>
      </c>
      <c r="C623">
        <v>1</v>
      </c>
      <c r="D623" t="s">
        <v>1613</v>
      </c>
      <c r="E623" t="s">
        <v>10</v>
      </c>
      <c r="F623" t="s">
        <v>1614</v>
      </c>
      <c r="G623" t="s">
        <v>396</v>
      </c>
      <c r="H623" t="str">
        <f>_xlfn.IFNA(+VLOOKUP(G623,Agrupacion!A:B,2,0),"")</f>
        <v>AGRUPADOR 3</v>
      </c>
      <c r="I623" t="str">
        <f>_xlfn.IFNA(+VLOOKUP(G623,Agrupacion!A:C,3,0),"")</f>
        <v>CABA SUR II</v>
      </c>
      <c r="J623" t="s">
        <v>15</v>
      </c>
      <c r="M623" t="s">
        <v>8</v>
      </c>
    </row>
    <row r="624" spans="1:13" x14ac:dyDescent="0.2">
      <c r="A624">
        <v>646</v>
      </c>
      <c r="B624" t="s">
        <v>2039</v>
      </c>
      <c r="C624">
        <v>1</v>
      </c>
      <c r="D624" t="s">
        <v>1615</v>
      </c>
      <c r="E624" t="s">
        <v>96</v>
      </c>
      <c r="F624" t="s">
        <v>1616</v>
      </c>
      <c r="G624" t="s">
        <v>1617</v>
      </c>
      <c r="H624" t="str">
        <f>_xlfn.IFNA(+VLOOKUP(G624,Agrupacion!A:B,2,0),"")</f>
        <v>AGRUPADOR 4</v>
      </c>
      <c r="I624" t="str">
        <f>_xlfn.IFNA(+VLOOKUP(G624,Agrupacion!A:C,3,0),"")</f>
        <v>GBA SUR</v>
      </c>
      <c r="J624" t="s">
        <v>1618</v>
      </c>
      <c r="L624" t="s">
        <v>1619</v>
      </c>
      <c r="M624" t="s">
        <v>8</v>
      </c>
    </row>
    <row r="625" spans="1:13" x14ac:dyDescent="0.2">
      <c r="A625">
        <v>647</v>
      </c>
      <c r="B625" t="s">
        <v>2040</v>
      </c>
      <c r="C625">
        <v>1</v>
      </c>
      <c r="D625" t="s">
        <v>589</v>
      </c>
      <c r="E625" t="s">
        <v>10</v>
      </c>
      <c r="F625" t="s">
        <v>590</v>
      </c>
      <c r="G625" t="s">
        <v>249</v>
      </c>
      <c r="H625" t="str">
        <f>_xlfn.IFNA(+VLOOKUP(G625,Agrupacion!A:B,2,0),"")</f>
        <v>AGRUPADOR 2</v>
      </c>
      <c r="I625" t="str">
        <f>_xlfn.IFNA(+VLOOKUP(G625,Agrupacion!A:C,3,0),"")</f>
        <v>CABA SUR</v>
      </c>
      <c r="J625" t="s">
        <v>15</v>
      </c>
      <c r="K625" t="s">
        <v>1620</v>
      </c>
      <c r="M625" t="s">
        <v>8</v>
      </c>
    </row>
    <row r="626" spans="1:13" x14ac:dyDescent="0.2">
      <c r="A626">
        <v>648</v>
      </c>
      <c r="B626" t="s">
        <v>2041</v>
      </c>
      <c r="C626">
        <v>1</v>
      </c>
      <c r="D626" t="s">
        <v>1621</v>
      </c>
      <c r="E626" t="s">
        <v>10</v>
      </c>
      <c r="F626" t="s">
        <v>1622</v>
      </c>
      <c r="G626" t="s">
        <v>396</v>
      </c>
      <c r="H626" t="str">
        <f>_xlfn.IFNA(+VLOOKUP(G626,Agrupacion!A:B,2,0),"")</f>
        <v>AGRUPADOR 3</v>
      </c>
      <c r="I626" t="str">
        <f>_xlfn.IFNA(+VLOOKUP(G626,Agrupacion!A:C,3,0),"")</f>
        <v>CABA SUR II</v>
      </c>
      <c r="J626" t="s">
        <v>15</v>
      </c>
      <c r="M626" t="s">
        <v>8</v>
      </c>
    </row>
    <row r="627" spans="1:13" x14ac:dyDescent="0.2">
      <c r="A627">
        <v>649</v>
      </c>
      <c r="B627" t="s">
        <v>2042</v>
      </c>
      <c r="C627">
        <v>1</v>
      </c>
      <c r="D627" t="s">
        <v>1623</v>
      </c>
      <c r="E627" t="s">
        <v>96</v>
      </c>
      <c r="F627" t="s">
        <v>1624</v>
      </c>
      <c r="G627" t="s">
        <v>1625</v>
      </c>
      <c r="H627" t="str">
        <f>_xlfn.IFNA(+VLOOKUP(G627,Agrupacion!A:B,2,0),"")</f>
        <v>AGRUPADOR 8</v>
      </c>
      <c r="I627" t="str">
        <f>_xlfn.IFNA(+VLOOKUP(G627,Agrupacion!A:C,3,0),"")</f>
        <v>GBA NORTE</v>
      </c>
      <c r="J627" t="s">
        <v>1626</v>
      </c>
      <c r="K627" t="s">
        <v>1627</v>
      </c>
      <c r="M627" t="s">
        <v>8</v>
      </c>
    </row>
    <row r="628" spans="1:13" x14ac:dyDescent="0.2">
      <c r="A628">
        <v>650</v>
      </c>
      <c r="B628" t="s">
        <v>2043</v>
      </c>
      <c r="C628">
        <v>1</v>
      </c>
      <c r="D628" t="s">
        <v>1630</v>
      </c>
      <c r="E628" t="s">
        <v>10</v>
      </c>
      <c r="F628" t="s">
        <v>1631</v>
      </c>
      <c r="G628" t="s">
        <v>48</v>
      </c>
      <c r="H628" t="str">
        <f>_xlfn.IFNA(+VLOOKUP(G628,Agrupacion!A:B,2,0),"")</f>
        <v>AGRUPADOR 2</v>
      </c>
      <c r="I628" t="str">
        <f>_xlfn.IFNA(+VLOOKUP(G628,Agrupacion!A:C,3,0),"")</f>
        <v>CABA SUR</v>
      </c>
      <c r="J628" t="s">
        <v>15</v>
      </c>
      <c r="M628" t="s">
        <v>8</v>
      </c>
    </row>
    <row r="629" spans="1:13" x14ac:dyDescent="0.2">
      <c r="A629">
        <v>651</v>
      </c>
      <c r="B629" t="s">
        <v>2044</v>
      </c>
      <c r="C629">
        <v>1</v>
      </c>
      <c r="D629" t="s">
        <v>1632</v>
      </c>
      <c r="E629" t="s">
        <v>10</v>
      </c>
      <c r="F629" t="s">
        <v>1633</v>
      </c>
      <c r="G629" t="s">
        <v>396</v>
      </c>
      <c r="H629" t="str">
        <f>_xlfn.IFNA(+VLOOKUP(G629,Agrupacion!A:B,2,0),"")</f>
        <v>AGRUPADOR 3</v>
      </c>
      <c r="I629" t="str">
        <f>_xlfn.IFNA(+VLOOKUP(G629,Agrupacion!A:C,3,0),"")</f>
        <v>CABA SUR II</v>
      </c>
      <c r="J629" t="s">
        <v>15</v>
      </c>
      <c r="K629" t="s">
        <v>1634</v>
      </c>
      <c r="M629" t="s">
        <v>8</v>
      </c>
    </row>
    <row r="630" spans="1:13" x14ac:dyDescent="0.2">
      <c r="A630">
        <v>652</v>
      </c>
      <c r="B630" t="s">
        <v>2045</v>
      </c>
      <c r="C630">
        <v>1</v>
      </c>
      <c r="D630" t="s">
        <v>1635</v>
      </c>
      <c r="E630" t="s">
        <v>10</v>
      </c>
      <c r="F630" t="s">
        <v>1636</v>
      </c>
      <c r="G630" t="s">
        <v>396</v>
      </c>
      <c r="H630" t="str">
        <f>_xlfn.IFNA(+VLOOKUP(G630,Agrupacion!A:B,2,0),"")</f>
        <v>AGRUPADOR 3</v>
      </c>
      <c r="I630" t="str">
        <f>_xlfn.IFNA(+VLOOKUP(G630,Agrupacion!A:C,3,0),"")</f>
        <v>CABA SUR II</v>
      </c>
      <c r="J630" t="s">
        <v>15</v>
      </c>
      <c r="M630" t="s">
        <v>8</v>
      </c>
    </row>
    <row r="631" spans="1:13" x14ac:dyDescent="0.2">
      <c r="A631">
        <v>653</v>
      </c>
      <c r="B631" t="s">
        <v>2046</v>
      </c>
      <c r="C631">
        <v>1</v>
      </c>
      <c r="D631" t="s">
        <v>1637</v>
      </c>
      <c r="E631" t="s">
        <v>10</v>
      </c>
      <c r="F631" t="s">
        <v>1638</v>
      </c>
      <c r="G631" t="s">
        <v>170</v>
      </c>
      <c r="H631" t="str">
        <f>_xlfn.IFNA(+VLOOKUP(G631,Agrupacion!A:B,2,0),"")</f>
        <v>AGRUPADOR 2</v>
      </c>
      <c r="I631" t="str">
        <f>_xlfn.IFNA(+VLOOKUP(G631,Agrupacion!A:C,3,0),"")</f>
        <v>CABA SUR</v>
      </c>
      <c r="J631" t="s">
        <v>994</v>
      </c>
      <c r="K631" t="s">
        <v>995</v>
      </c>
      <c r="M631" t="s">
        <v>8</v>
      </c>
    </row>
    <row r="632" spans="1:13" x14ac:dyDescent="0.2">
      <c r="A632">
        <v>654</v>
      </c>
      <c r="B632" t="s">
        <v>2047</v>
      </c>
      <c r="C632">
        <v>1</v>
      </c>
      <c r="D632" t="s">
        <v>1639</v>
      </c>
      <c r="E632" t="s">
        <v>10</v>
      </c>
      <c r="F632" t="s">
        <v>1640</v>
      </c>
      <c r="G632" t="s">
        <v>396</v>
      </c>
      <c r="H632" t="str">
        <f>_xlfn.IFNA(+VLOOKUP(G632,Agrupacion!A:B,2,0),"")</f>
        <v>AGRUPADOR 3</v>
      </c>
      <c r="I632" t="str">
        <f>_xlfn.IFNA(+VLOOKUP(G632,Agrupacion!A:C,3,0),"")</f>
        <v>CABA SUR II</v>
      </c>
      <c r="J632" t="s">
        <v>15</v>
      </c>
      <c r="K632" t="s">
        <v>1641</v>
      </c>
      <c r="M632" t="s">
        <v>8</v>
      </c>
    </row>
    <row r="633" spans="1:13" x14ac:dyDescent="0.2">
      <c r="A633">
        <v>655</v>
      </c>
      <c r="B633" t="s">
        <v>2048</v>
      </c>
      <c r="C633">
        <v>1</v>
      </c>
      <c r="D633" t="s">
        <v>1642</v>
      </c>
      <c r="E633" t="s">
        <v>10</v>
      </c>
      <c r="F633" t="s">
        <v>1541</v>
      </c>
      <c r="G633" t="s">
        <v>170</v>
      </c>
      <c r="H633" t="str">
        <f>_xlfn.IFNA(+VLOOKUP(G633,Agrupacion!A:B,2,0),"")</f>
        <v>AGRUPADOR 2</v>
      </c>
      <c r="I633" t="str">
        <f>_xlfn.IFNA(+VLOOKUP(G633,Agrupacion!A:C,3,0),"")</f>
        <v>CABA SUR</v>
      </c>
      <c r="J633" t="s">
        <v>15</v>
      </c>
      <c r="K633" t="s">
        <v>1643</v>
      </c>
      <c r="M633" t="s">
        <v>8</v>
      </c>
    </row>
    <row r="634" spans="1:13" x14ac:dyDescent="0.2">
      <c r="A634">
        <v>656</v>
      </c>
      <c r="B634" t="s">
        <v>2523</v>
      </c>
      <c r="C634">
        <v>1</v>
      </c>
      <c r="D634" t="s">
        <v>1644</v>
      </c>
      <c r="E634" t="s">
        <v>10</v>
      </c>
      <c r="F634" t="s">
        <v>1386</v>
      </c>
      <c r="G634" t="s">
        <v>396</v>
      </c>
      <c r="H634" t="str">
        <f>_xlfn.IFNA(+VLOOKUP(G634,Agrupacion!A:B,2,0),"")</f>
        <v>AGRUPADOR 3</v>
      </c>
      <c r="I634" t="str">
        <f>_xlfn.IFNA(+VLOOKUP(G634,Agrupacion!A:C,3,0),"")</f>
        <v>CABA SUR II</v>
      </c>
      <c r="J634" t="s">
        <v>15</v>
      </c>
      <c r="K634" t="s">
        <v>1645</v>
      </c>
      <c r="M634" t="s">
        <v>8</v>
      </c>
    </row>
    <row r="635" spans="1:13" x14ac:dyDescent="0.2">
      <c r="A635">
        <v>657</v>
      </c>
      <c r="B635" t="s">
        <v>2524</v>
      </c>
      <c r="C635">
        <v>1</v>
      </c>
      <c r="D635" t="s">
        <v>1421</v>
      </c>
      <c r="E635" t="s">
        <v>10</v>
      </c>
      <c r="F635" t="s">
        <v>1422</v>
      </c>
      <c r="G635" t="s">
        <v>2698</v>
      </c>
      <c r="H635" t="str">
        <f>_xlfn.IFNA(+VLOOKUP(G635,Agrupacion!A:B,2,0),"")</f>
        <v>AGRUPADOR 1</v>
      </c>
      <c r="I635" t="str">
        <f>_xlfn.IFNA(+VLOOKUP(G635,Agrupacion!A:C,3,0),"")</f>
        <v>CABA NORTE</v>
      </c>
      <c r="J635" t="s">
        <v>320</v>
      </c>
      <c r="K635" t="s">
        <v>1646</v>
      </c>
      <c r="M635" t="s">
        <v>8</v>
      </c>
    </row>
    <row r="636" spans="1:13" x14ac:dyDescent="0.2">
      <c r="A636">
        <v>658</v>
      </c>
      <c r="B636" t="s">
        <v>2525</v>
      </c>
      <c r="C636">
        <v>1</v>
      </c>
      <c r="D636" t="s">
        <v>1647</v>
      </c>
      <c r="E636" t="s">
        <v>10</v>
      </c>
      <c r="F636" t="s">
        <v>1648</v>
      </c>
      <c r="G636" t="s">
        <v>170</v>
      </c>
      <c r="H636" t="str">
        <f>_xlfn.IFNA(+VLOOKUP(G636,Agrupacion!A:B,2,0),"")</f>
        <v>AGRUPADOR 2</v>
      </c>
      <c r="I636" t="str">
        <f>_xlfn.IFNA(+VLOOKUP(G636,Agrupacion!A:C,3,0),"")</f>
        <v>CABA SUR</v>
      </c>
      <c r="J636" t="s">
        <v>160</v>
      </c>
      <c r="M636" t="s">
        <v>8</v>
      </c>
    </row>
    <row r="637" spans="1:13" x14ac:dyDescent="0.2">
      <c r="A637">
        <v>659</v>
      </c>
      <c r="B637" t="s">
        <v>2526</v>
      </c>
      <c r="C637">
        <v>1</v>
      </c>
      <c r="D637" t="s">
        <v>1649</v>
      </c>
      <c r="E637" t="s">
        <v>96</v>
      </c>
      <c r="F637" t="s">
        <v>1650</v>
      </c>
      <c r="G637" t="s">
        <v>1651</v>
      </c>
      <c r="H637" t="str">
        <f>_xlfn.IFNA(+VLOOKUP(G637,Agrupacion!A:B,2,0),"")</f>
        <v>AGRUPADOR 7</v>
      </c>
      <c r="I637" t="str">
        <f>_xlfn.IFNA(+VLOOKUP(G637,Agrupacion!A:C,3,0),"")</f>
        <v>GBA OESTE II</v>
      </c>
      <c r="J637" t="s">
        <v>1652</v>
      </c>
      <c r="K637" t="s">
        <v>1653</v>
      </c>
      <c r="L637" t="s">
        <v>1654</v>
      </c>
      <c r="M637" t="s">
        <v>8</v>
      </c>
    </row>
    <row r="638" spans="1:13" x14ac:dyDescent="0.2">
      <c r="A638">
        <v>660</v>
      </c>
      <c r="B638" t="s">
        <v>2527</v>
      </c>
      <c r="C638">
        <v>1</v>
      </c>
      <c r="D638" t="s">
        <v>1658</v>
      </c>
      <c r="E638" t="s">
        <v>96</v>
      </c>
      <c r="F638" t="s">
        <v>1010</v>
      </c>
      <c r="G638" t="s">
        <v>170</v>
      </c>
      <c r="H638" t="str">
        <f>_xlfn.IFNA(+VLOOKUP(G638,Agrupacion!A:B,2,0),"")</f>
        <v>AGRUPADOR 2</v>
      </c>
      <c r="I638" t="str">
        <f>_xlfn.IFNA(+VLOOKUP(G638,Agrupacion!A:C,3,0),"")</f>
        <v>CABA SUR</v>
      </c>
      <c r="J638" t="s">
        <v>15</v>
      </c>
      <c r="M638" t="s">
        <v>8</v>
      </c>
    </row>
    <row r="639" spans="1:13" x14ac:dyDescent="0.2">
      <c r="A639">
        <v>661</v>
      </c>
      <c r="B639" t="s">
        <v>2528</v>
      </c>
      <c r="C639">
        <v>1</v>
      </c>
      <c r="D639" t="s">
        <v>1491</v>
      </c>
      <c r="E639" t="s">
        <v>10</v>
      </c>
      <c r="F639" t="s">
        <v>1492</v>
      </c>
      <c r="G639" t="s">
        <v>170</v>
      </c>
      <c r="H639" t="str">
        <f>_xlfn.IFNA(+VLOOKUP(G639,Agrupacion!A:B,2,0),"")</f>
        <v>AGRUPADOR 2</v>
      </c>
      <c r="I639" t="str">
        <f>_xlfn.IFNA(+VLOOKUP(G639,Agrupacion!A:C,3,0),"")</f>
        <v>CABA SUR</v>
      </c>
      <c r="J639" t="s">
        <v>1493</v>
      </c>
      <c r="M639" t="s">
        <v>8</v>
      </c>
    </row>
    <row r="640" spans="1:13" x14ac:dyDescent="0.2">
      <c r="A640">
        <v>662</v>
      </c>
      <c r="B640" t="s">
        <v>2529</v>
      </c>
      <c r="C640">
        <v>1</v>
      </c>
      <c r="D640" t="s">
        <v>1659</v>
      </c>
      <c r="E640" t="s">
        <v>10</v>
      </c>
      <c r="F640" t="s">
        <v>1660</v>
      </c>
      <c r="G640" t="s">
        <v>396</v>
      </c>
      <c r="H640" t="str">
        <f>_xlfn.IFNA(+VLOOKUP(G640,Agrupacion!A:B,2,0),"")</f>
        <v>AGRUPADOR 3</v>
      </c>
      <c r="I640" t="str">
        <f>_xlfn.IFNA(+VLOOKUP(G640,Agrupacion!A:C,3,0),"")</f>
        <v>CABA SUR II</v>
      </c>
      <c r="J640" t="s">
        <v>15</v>
      </c>
      <c r="K640" t="s">
        <v>1661</v>
      </c>
      <c r="M640" t="s">
        <v>8</v>
      </c>
    </row>
    <row r="641" spans="1:13" x14ac:dyDescent="0.2">
      <c r="A641">
        <v>663</v>
      </c>
      <c r="B641" t="s">
        <v>2530</v>
      </c>
      <c r="C641">
        <v>1</v>
      </c>
      <c r="D641" t="s">
        <v>1662</v>
      </c>
      <c r="E641" t="s">
        <v>10</v>
      </c>
      <c r="F641" t="s">
        <v>1614</v>
      </c>
      <c r="G641" t="s">
        <v>396</v>
      </c>
      <c r="H641" t="str">
        <f>_xlfn.IFNA(+VLOOKUP(G641,Agrupacion!A:B,2,0),"")</f>
        <v>AGRUPADOR 3</v>
      </c>
      <c r="I641" t="str">
        <f>_xlfn.IFNA(+VLOOKUP(G641,Agrupacion!A:C,3,0),"")</f>
        <v>CABA SUR II</v>
      </c>
      <c r="J641" t="s">
        <v>15</v>
      </c>
      <c r="K641" t="s">
        <v>1663</v>
      </c>
      <c r="M641" t="s">
        <v>8</v>
      </c>
    </row>
    <row r="642" spans="1:13" x14ac:dyDescent="0.2">
      <c r="A642">
        <v>664</v>
      </c>
      <c r="B642" t="s">
        <v>2531</v>
      </c>
      <c r="C642">
        <v>1</v>
      </c>
      <c r="D642" t="s">
        <v>1664</v>
      </c>
      <c r="E642" t="s">
        <v>10</v>
      </c>
      <c r="F642" t="s">
        <v>585</v>
      </c>
      <c r="G642" t="s">
        <v>170</v>
      </c>
      <c r="H642" t="str">
        <f>_xlfn.IFNA(+VLOOKUP(G642,Agrupacion!A:B,2,0),"")</f>
        <v>AGRUPADOR 2</v>
      </c>
      <c r="I642" t="str">
        <f>_xlfn.IFNA(+VLOOKUP(G642,Agrupacion!A:C,3,0),"")</f>
        <v>CABA SUR</v>
      </c>
      <c r="J642" t="s">
        <v>15</v>
      </c>
      <c r="K642" t="s">
        <v>1665</v>
      </c>
      <c r="L642" t="s">
        <v>1666</v>
      </c>
      <c r="M642" t="s">
        <v>8</v>
      </c>
    </row>
    <row r="643" spans="1:13" x14ac:dyDescent="0.2">
      <c r="A643">
        <v>665</v>
      </c>
      <c r="B643" t="s">
        <v>2532</v>
      </c>
      <c r="C643">
        <v>1</v>
      </c>
      <c r="D643" t="s">
        <v>1667</v>
      </c>
      <c r="E643" t="s">
        <v>10</v>
      </c>
      <c r="F643" t="s">
        <v>1668</v>
      </c>
      <c r="G643" t="s">
        <v>396</v>
      </c>
      <c r="H643" t="str">
        <f>_xlfn.IFNA(+VLOOKUP(G643,Agrupacion!A:B,2,0),"")</f>
        <v>AGRUPADOR 3</v>
      </c>
      <c r="I643" t="str">
        <f>_xlfn.IFNA(+VLOOKUP(G643,Agrupacion!A:C,3,0),"")</f>
        <v>CABA SUR II</v>
      </c>
      <c r="J643" t="s">
        <v>15</v>
      </c>
      <c r="M643" t="s">
        <v>8</v>
      </c>
    </row>
    <row r="644" spans="1:13" x14ac:dyDescent="0.2">
      <c r="A644">
        <v>666</v>
      </c>
      <c r="B644" t="s">
        <v>2533</v>
      </c>
      <c r="C644">
        <v>1</v>
      </c>
      <c r="D644" t="s">
        <v>1669</v>
      </c>
      <c r="E644" t="s">
        <v>10</v>
      </c>
      <c r="F644" t="s">
        <v>1670</v>
      </c>
      <c r="G644" t="s">
        <v>48</v>
      </c>
      <c r="H644" t="str">
        <f>_xlfn.IFNA(+VLOOKUP(G644,Agrupacion!A:B,2,0),"")</f>
        <v>AGRUPADOR 2</v>
      </c>
      <c r="I644" t="str">
        <f>_xlfn.IFNA(+VLOOKUP(G644,Agrupacion!A:C,3,0),"")</f>
        <v>CABA SUR</v>
      </c>
      <c r="J644" t="s">
        <v>15</v>
      </c>
      <c r="K644" t="s">
        <v>1671</v>
      </c>
      <c r="M644" t="s">
        <v>8</v>
      </c>
    </row>
    <row r="645" spans="1:13" x14ac:dyDescent="0.2">
      <c r="A645">
        <v>667</v>
      </c>
      <c r="B645" t="s">
        <v>2534</v>
      </c>
      <c r="C645">
        <v>1</v>
      </c>
      <c r="D645" t="s">
        <v>1672</v>
      </c>
      <c r="E645" t="s">
        <v>10</v>
      </c>
      <c r="F645" t="s">
        <v>1673</v>
      </c>
      <c r="G645" t="s">
        <v>396</v>
      </c>
      <c r="H645" t="str">
        <f>_xlfn.IFNA(+VLOOKUP(G645,Agrupacion!A:B,2,0),"")</f>
        <v>AGRUPADOR 3</v>
      </c>
      <c r="I645" t="str">
        <f>_xlfn.IFNA(+VLOOKUP(G645,Agrupacion!A:C,3,0),"")</f>
        <v>CABA SUR II</v>
      </c>
      <c r="J645" t="s">
        <v>15</v>
      </c>
      <c r="K645" t="s">
        <v>1674</v>
      </c>
      <c r="M645" t="s">
        <v>8</v>
      </c>
    </row>
    <row r="646" spans="1:13" x14ac:dyDescent="0.2">
      <c r="A646">
        <v>668</v>
      </c>
      <c r="B646" t="s">
        <v>2535</v>
      </c>
      <c r="C646">
        <v>1</v>
      </c>
      <c r="D646" t="s">
        <v>1675</v>
      </c>
      <c r="E646" t="s">
        <v>10</v>
      </c>
      <c r="F646" t="s">
        <v>1676</v>
      </c>
      <c r="G646" t="s">
        <v>396</v>
      </c>
      <c r="H646" t="str">
        <f>_xlfn.IFNA(+VLOOKUP(G646,Agrupacion!A:B,2,0),"")</f>
        <v>AGRUPADOR 3</v>
      </c>
      <c r="I646" t="str">
        <f>_xlfn.IFNA(+VLOOKUP(G646,Agrupacion!A:C,3,0),"")</f>
        <v>CABA SUR II</v>
      </c>
      <c r="J646" t="s">
        <v>15</v>
      </c>
      <c r="K646" t="s">
        <v>1677</v>
      </c>
      <c r="M646" t="s">
        <v>8</v>
      </c>
    </row>
    <row r="647" spans="1:13" x14ac:dyDescent="0.2">
      <c r="A647">
        <v>669</v>
      </c>
      <c r="B647" t="s">
        <v>2536</v>
      </c>
      <c r="C647">
        <v>1</v>
      </c>
      <c r="D647" t="s">
        <v>1678</v>
      </c>
      <c r="E647" t="s">
        <v>96</v>
      </c>
      <c r="F647" t="s">
        <v>1679</v>
      </c>
      <c r="G647" t="s">
        <v>2720</v>
      </c>
      <c r="H647" t="str">
        <f>_xlfn.IFNA(+VLOOKUP(G647,Agrupacion!A:B,2,0),"")</f>
        <v>AGRUPADOR 2</v>
      </c>
      <c r="I647" t="str">
        <f>_xlfn.IFNA(+VLOOKUP(G647,Agrupacion!A:C,3,0),"")</f>
        <v>CABA SUR</v>
      </c>
      <c r="J647" t="s">
        <v>156</v>
      </c>
      <c r="K647" t="s">
        <v>1680</v>
      </c>
      <c r="M647" t="s">
        <v>8</v>
      </c>
    </row>
    <row r="648" spans="1:13" x14ac:dyDescent="0.2">
      <c r="A648">
        <v>670</v>
      </c>
      <c r="B648" t="s">
        <v>2537</v>
      </c>
      <c r="C648">
        <v>1</v>
      </c>
      <c r="D648" t="s">
        <v>1681</v>
      </c>
      <c r="E648" t="s">
        <v>10</v>
      </c>
      <c r="F648" t="s">
        <v>111</v>
      </c>
      <c r="G648" t="s">
        <v>396</v>
      </c>
      <c r="H648" t="str">
        <f>_xlfn.IFNA(+VLOOKUP(G648,Agrupacion!A:B,2,0),"")</f>
        <v>AGRUPADOR 3</v>
      </c>
      <c r="I648" t="str">
        <f>_xlfn.IFNA(+VLOOKUP(G648,Agrupacion!A:C,3,0),"")</f>
        <v>CABA SUR II</v>
      </c>
      <c r="J648" t="s">
        <v>15</v>
      </c>
      <c r="M648" t="s">
        <v>8</v>
      </c>
    </row>
    <row r="649" spans="1:13" x14ac:dyDescent="0.2">
      <c r="A649">
        <v>671</v>
      </c>
      <c r="B649" t="s">
        <v>2538</v>
      </c>
      <c r="C649">
        <v>1</v>
      </c>
      <c r="D649" t="s">
        <v>1682</v>
      </c>
      <c r="E649" t="s">
        <v>10</v>
      </c>
      <c r="F649" t="s">
        <v>1163</v>
      </c>
      <c r="G649" t="s">
        <v>170</v>
      </c>
      <c r="H649" t="str">
        <f>_xlfn.IFNA(+VLOOKUP(G649,Agrupacion!A:B,2,0),"")</f>
        <v>AGRUPADOR 2</v>
      </c>
      <c r="I649" t="str">
        <f>_xlfn.IFNA(+VLOOKUP(G649,Agrupacion!A:C,3,0),"")</f>
        <v>CABA SUR</v>
      </c>
      <c r="J649" t="s">
        <v>1164</v>
      </c>
      <c r="M649" t="s">
        <v>8</v>
      </c>
    </row>
    <row r="650" spans="1:13" x14ac:dyDescent="0.2">
      <c r="A650">
        <v>672</v>
      </c>
      <c r="B650" t="s">
        <v>2539</v>
      </c>
      <c r="C650">
        <v>1</v>
      </c>
      <c r="D650" t="s">
        <v>1226</v>
      </c>
      <c r="E650" t="s">
        <v>10</v>
      </c>
      <c r="F650" t="s">
        <v>1010</v>
      </c>
      <c r="G650" t="s">
        <v>170</v>
      </c>
      <c r="H650" t="str">
        <f>_xlfn.IFNA(+VLOOKUP(G650,Agrupacion!A:B,2,0),"")</f>
        <v>AGRUPADOR 2</v>
      </c>
      <c r="I650" t="str">
        <f>_xlfn.IFNA(+VLOOKUP(G650,Agrupacion!A:C,3,0),"")</f>
        <v>CABA SUR</v>
      </c>
      <c r="J650" t="s">
        <v>15</v>
      </c>
      <c r="K650" t="s">
        <v>1683</v>
      </c>
      <c r="M650" t="s">
        <v>8</v>
      </c>
    </row>
    <row r="651" spans="1:13" x14ac:dyDescent="0.2">
      <c r="A651">
        <v>673</v>
      </c>
      <c r="B651" t="s">
        <v>2540</v>
      </c>
      <c r="C651">
        <v>1</v>
      </c>
      <c r="D651" t="s">
        <v>1684</v>
      </c>
      <c r="E651" t="s">
        <v>10</v>
      </c>
      <c r="F651" t="s">
        <v>1073</v>
      </c>
      <c r="G651" t="s">
        <v>396</v>
      </c>
      <c r="H651" t="str">
        <f>_xlfn.IFNA(+VLOOKUP(G651,Agrupacion!A:B,2,0),"")</f>
        <v>AGRUPADOR 3</v>
      </c>
      <c r="I651" t="str">
        <f>_xlfn.IFNA(+VLOOKUP(G651,Agrupacion!A:C,3,0),"")</f>
        <v>CABA SUR II</v>
      </c>
      <c r="J651" t="s">
        <v>15</v>
      </c>
      <c r="K651" t="s">
        <v>1685</v>
      </c>
      <c r="M651" t="s">
        <v>8</v>
      </c>
    </row>
    <row r="652" spans="1:13" x14ac:dyDescent="0.2">
      <c r="A652">
        <v>674</v>
      </c>
      <c r="B652" t="s">
        <v>2541</v>
      </c>
      <c r="C652">
        <v>1</v>
      </c>
      <c r="D652" t="s">
        <v>1686</v>
      </c>
      <c r="E652" t="s">
        <v>10</v>
      </c>
      <c r="F652" t="s">
        <v>1687</v>
      </c>
      <c r="G652" t="s">
        <v>396</v>
      </c>
      <c r="H652" t="str">
        <f>_xlfn.IFNA(+VLOOKUP(G652,Agrupacion!A:B,2,0),"")</f>
        <v>AGRUPADOR 3</v>
      </c>
      <c r="I652" t="str">
        <f>_xlfn.IFNA(+VLOOKUP(G652,Agrupacion!A:C,3,0),"")</f>
        <v>CABA SUR II</v>
      </c>
      <c r="J652" t="s">
        <v>15</v>
      </c>
      <c r="K652" t="s">
        <v>1688</v>
      </c>
      <c r="M652" t="s">
        <v>8</v>
      </c>
    </row>
    <row r="653" spans="1:13" x14ac:dyDescent="0.2">
      <c r="A653">
        <v>675</v>
      </c>
      <c r="B653" t="s">
        <v>2542</v>
      </c>
      <c r="C653">
        <v>1</v>
      </c>
      <c r="D653" t="s">
        <v>1689</v>
      </c>
      <c r="E653" t="s">
        <v>10</v>
      </c>
      <c r="F653" t="s">
        <v>951</v>
      </c>
      <c r="G653" t="s">
        <v>1192</v>
      </c>
      <c r="H653" t="str">
        <f>_xlfn.IFNA(+VLOOKUP(G653,Agrupacion!A:B,2,0),"")</f>
        <v>AGRUPADOR 3</v>
      </c>
      <c r="I653" t="str">
        <f>_xlfn.IFNA(+VLOOKUP(G653,Agrupacion!A:C,3,0),"")</f>
        <v>CABA SUR II</v>
      </c>
      <c r="J653" t="s">
        <v>1476</v>
      </c>
      <c r="M653" t="s">
        <v>8</v>
      </c>
    </row>
    <row r="654" spans="1:13" x14ac:dyDescent="0.2">
      <c r="A654">
        <v>676</v>
      </c>
      <c r="B654" t="s">
        <v>2543</v>
      </c>
      <c r="C654">
        <v>1</v>
      </c>
      <c r="D654" t="s">
        <v>60</v>
      </c>
      <c r="E654" t="s">
        <v>10</v>
      </c>
      <c r="F654" t="s">
        <v>61</v>
      </c>
      <c r="G654" t="s">
        <v>396</v>
      </c>
      <c r="H654" t="str">
        <f>_xlfn.IFNA(+VLOOKUP(G654,Agrupacion!A:B,2,0),"")</f>
        <v>AGRUPADOR 3</v>
      </c>
      <c r="I654" t="str">
        <f>_xlfn.IFNA(+VLOOKUP(G654,Agrupacion!A:C,3,0),"")</f>
        <v>CABA SUR II</v>
      </c>
      <c r="J654" t="s">
        <v>1476</v>
      </c>
      <c r="M654" t="s">
        <v>8</v>
      </c>
    </row>
    <row r="655" spans="1:13" x14ac:dyDescent="0.2">
      <c r="A655">
        <v>677</v>
      </c>
      <c r="B655" t="s">
        <v>2544</v>
      </c>
      <c r="C655">
        <v>1</v>
      </c>
      <c r="D655" t="s">
        <v>1690</v>
      </c>
      <c r="E655" t="s">
        <v>10</v>
      </c>
      <c r="F655" t="s">
        <v>1691</v>
      </c>
      <c r="G655" t="s">
        <v>396</v>
      </c>
      <c r="H655" t="str">
        <f>_xlfn.IFNA(+VLOOKUP(G655,Agrupacion!A:B,2,0),"")</f>
        <v>AGRUPADOR 3</v>
      </c>
      <c r="I655" t="str">
        <f>_xlfn.IFNA(+VLOOKUP(G655,Agrupacion!A:C,3,0),"")</f>
        <v>CABA SUR II</v>
      </c>
      <c r="J655" t="s">
        <v>15</v>
      </c>
      <c r="K655" t="s">
        <v>420</v>
      </c>
      <c r="M655" t="s">
        <v>8</v>
      </c>
    </row>
    <row r="656" spans="1:13" x14ac:dyDescent="0.2">
      <c r="A656">
        <v>678</v>
      </c>
      <c r="B656" t="s">
        <v>2602</v>
      </c>
      <c r="C656">
        <v>1</v>
      </c>
      <c r="D656" t="s">
        <v>1692</v>
      </c>
      <c r="E656" t="s">
        <v>10</v>
      </c>
      <c r="F656" t="s">
        <v>1693</v>
      </c>
      <c r="G656" t="s">
        <v>396</v>
      </c>
      <c r="H656" t="str">
        <f>_xlfn.IFNA(+VLOOKUP(G656,Agrupacion!A:B,2,0),"")</f>
        <v>AGRUPADOR 3</v>
      </c>
      <c r="I656" t="str">
        <f>_xlfn.IFNA(+VLOOKUP(G656,Agrupacion!A:C,3,0),"")</f>
        <v>CABA SUR II</v>
      </c>
      <c r="J656" t="s">
        <v>15</v>
      </c>
      <c r="K656" t="s">
        <v>1694</v>
      </c>
      <c r="M656" t="s">
        <v>8</v>
      </c>
    </row>
    <row r="657" spans="1:13" x14ac:dyDescent="0.2">
      <c r="A657">
        <v>679</v>
      </c>
      <c r="B657" t="s">
        <v>2603</v>
      </c>
      <c r="C657">
        <v>1</v>
      </c>
      <c r="D657" t="s">
        <v>1695</v>
      </c>
      <c r="E657" t="s">
        <v>10</v>
      </c>
      <c r="F657" t="s">
        <v>812</v>
      </c>
      <c r="G657" t="s">
        <v>396</v>
      </c>
      <c r="H657" t="str">
        <f>_xlfn.IFNA(+VLOOKUP(G657,Agrupacion!A:B,2,0),"")</f>
        <v>AGRUPADOR 3</v>
      </c>
      <c r="I657" t="str">
        <f>_xlfn.IFNA(+VLOOKUP(G657,Agrupacion!A:C,3,0),"")</f>
        <v>CABA SUR II</v>
      </c>
      <c r="J657" t="s">
        <v>15</v>
      </c>
      <c r="K657" t="s">
        <v>1696</v>
      </c>
      <c r="M657" t="s">
        <v>8</v>
      </c>
    </row>
    <row r="658" spans="1:13" x14ac:dyDescent="0.2">
      <c r="A658">
        <v>680</v>
      </c>
      <c r="B658" t="s">
        <v>2604</v>
      </c>
      <c r="C658">
        <v>1</v>
      </c>
      <c r="D658" t="s">
        <v>1700</v>
      </c>
      <c r="E658" t="s">
        <v>96</v>
      </c>
      <c r="F658" t="s">
        <v>1701</v>
      </c>
      <c r="G658" t="s">
        <v>224</v>
      </c>
      <c r="H658" t="str">
        <f>_xlfn.IFNA(+VLOOKUP(G658,Agrupacion!A:B,2,0),"")</f>
        <v>AGRUPADOR 3</v>
      </c>
      <c r="I658" t="str">
        <f>_xlfn.IFNA(+VLOOKUP(G658,Agrupacion!A:C,3,0),"")</f>
        <v>CABA SUR II</v>
      </c>
      <c r="J658" t="s">
        <v>225</v>
      </c>
      <c r="K658" t="s">
        <v>1702</v>
      </c>
      <c r="M658" t="s">
        <v>8</v>
      </c>
    </row>
    <row r="659" spans="1:13" x14ac:dyDescent="0.2">
      <c r="A659">
        <v>681</v>
      </c>
      <c r="B659" t="s">
        <v>2605</v>
      </c>
      <c r="C659">
        <v>1</v>
      </c>
      <c r="D659" t="s">
        <v>1222</v>
      </c>
      <c r="E659" t="s">
        <v>10</v>
      </c>
      <c r="F659" t="s">
        <v>21</v>
      </c>
      <c r="G659" t="s">
        <v>396</v>
      </c>
      <c r="H659" t="str">
        <f>_xlfn.IFNA(+VLOOKUP(G659,Agrupacion!A:B,2,0),"")</f>
        <v>AGRUPADOR 3</v>
      </c>
      <c r="I659" t="str">
        <f>_xlfn.IFNA(+VLOOKUP(G659,Agrupacion!A:C,3,0),"")</f>
        <v>CABA SUR II</v>
      </c>
      <c r="J659" t="s">
        <v>15</v>
      </c>
      <c r="K659" t="s">
        <v>1703</v>
      </c>
      <c r="L659" t="s">
        <v>1704</v>
      </c>
      <c r="M659" t="s">
        <v>8</v>
      </c>
    </row>
    <row r="660" spans="1:13" x14ac:dyDescent="0.2">
      <c r="A660">
        <v>682</v>
      </c>
      <c r="B660" t="s">
        <v>2606</v>
      </c>
      <c r="C660">
        <v>1</v>
      </c>
      <c r="D660" t="s">
        <v>1705</v>
      </c>
      <c r="E660" t="s">
        <v>10</v>
      </c>
      <c r="F660" t="s">
        <v>1706</v>
      </c>
      <c r="G660" t="s">
        <v>396</v>
      </c>
      <c r="H660" t="str">
        <f>_xlfn.IFNA(+VLOOKUP(G660,Agrupacion!A:B,2,0),"")</f>
        <v>AGRUPADOR 3</v>
      </c>
      <c r="I660" t="str">
        <f>_xlfn.IFNA(+VLOOKUP(G660,Agrupacion!A:C,3,0),"")</f>
        <v>CABA SUR II</v>
      </c>
      <c r="J660" t="s">
        <v>15</v>
      </c>
      <c r="K660" t="s">
        <v>1707</v>
      </c>
      <c r="M660" t="s">
        <v>8</v>
      </c>
    </row>
    <row r="661" spans="1:13" x14ac:dyDescent="0.2">
      <c r="A661">
        <v>683</v>
      </c>
      <c r="B661" t="s">
        <v>2607</v>
      </c>
      <c r="C661">
        <v>1</v>
      </c>
      <c r="D661" t="s">
        <v>1708</v>
      </c>
      <c r="E661" t="s">
        <v>10</v>
      </c>
      <c r="F661" t="s">
        <v>1709</v>
      </c>
      <c r="G661" t="s">
        <v>396</v>
      </c>
      <c r="H661" t="str">
        <f>_xlfn.IFNA(+VLOOKUP(G661,Agrupacion!A:B,2,0),"")</f>
        <v>AGRUPADOR 3</v>
      </c>
      <c r="I661" t="str">
        <f>_xlfn.IFNA(+VLOOKUP(G661,Agrupacion!A:C,3,0),"")</f>
        <v>CABA SUR II</v>
      </c>
      <c r="J661" t="s">
        <v>15</v>
      </c>
      <c r="M661" t="s">
        <v>8</v>
      </c>
    </row>
    <row r="662" spans="1:13" x14ac:dyDescent="0.2">
      <c r="A662">
        <v>684</v>
      </c>
      <c r="B662" t="s">
        <v>2608</v>
      </c>
      <c r="C662">
        <v>1</v>
      </c>
      <c r="D662" t="s">
        <v>1710</v>
      </c>
      <c r="E662" t="s">
        <v>10</v>
      </c>
      <c r="F662" t="s">
        <v>1092</v>
      </c>
      <c r="G662" t="s">
        <v>396</v>
      </c>
      <c r="H662" t="str">
        <f>_xlfn.IFNA(+VLOOKUP(G662,Agrupacion!A:B,2,0),"")</f>
        <v>AGRUPADOR 3</v>
      </c>
      <c r="I662" t="str">
        <f>_xlfn.IFNA(+VLOOKUP(G662,Agrupacion!A:C,3,0),"")</f>
        <v>CABA SUR II</v>
      </c>
      <c r="K662" t="s">
        <v>1711</v>
      </c>
      <c r="M662" t="s">
        <v>8</v>
      </c>
    </row>
    <row r="663" spans="1:13" x14ac:dyDescent="0.2">
      <c r="A663">
        <v>685</v>
      </c>
      <c r="B663" t="s">
        <v>2609</v>
      </c>
      <c r="C663">
        <v>1</v>
      </c>
      <c r="D663" t="s">
        <v>1712</v>
      </c>
      <c r="E663" t="s">
        <v>10</v>
      </c>
      <c r="F663" t="s">
        <v>1713</v>
      </c>
      <c r="G663" t="s">
        <v>2697</v>
      </c>
      <c r="H663" t="str">
        <f>_xlfn.IFNA(+VLOOKUP(G663,Agrupacion!A:B,2,0),"")</f>
        <v>AGRUPADOR 3</v>
      </c>
      <c r="I663" t="str">
        <f>_xlfn.IFNA(+VLOOKUP(G663,Agrupacion!A:C,3,0),"")</f>
        <v>CABA SUR II</v>
      </c>
      <c r="J663" t="s">
        <v>15</v>
      </c>
      <c r="M663" t="s">
        <v>8</v>
      </c>
    </row>
    <row r="664" spans="1:13" x14ac:dyDescent="0.2">
      <c r="A664">
        <v>686</v>
      </c>
      <c r="B664" t="s">
        <v>2610</v>
      </c>
      <c r="C664">
        <v>1</v>
      </c>
      <c r="D664" t="s">
        <v>1714</v>
      </c>
      <c r="E664" t="s">
        <v>10</v>
      </c>
      <c r="F664" t="s">
        <v>733</v>
      </c>
      <c r="G664" t="s">
        <v>396</v>
      </c>
      <c r="H664" t="str">
        <f>_xlfn.IFNA(+VLOOKUP(G664,Agrupacion!A:B,2,0),"")</f>
        <v>AGRUPADOR 3</v>
      </c>
      <c r="I664" t="str">
        <f>_xlfn.IFNA(+VLOOKUP(G664,Agrupacion!A:C,3,0),"")</f>
        <v>CABA SUR II</v>
      </c>
      <c r="J664" t="s">
        <v>15</v>
      </c>
      <c r="K664" t="s">
        <v>257</v>
      </c>
      <c r="M664" t="s">
        <v>8</v>
      </c>
    </row>
    <row r="665" spans="1:13" x14ac:dyDescent="0.2">
      <c r="A665">
        <v>687</v>
      </c>
      <c r="B665" t="s">
        <v>2611</v>
      </c>
      <c r="C665">
        <v>1</v>
      </c>
      <c r="D665" t="s">
        <v>1715</v>
      </c>
      <c r="E665" t="s">
        <v>10</v>
      </c>
      <c r="F665" t="s">
        <v>1716</v>
      </c>
      <c r="G665" t="s">
        <v>396</v>
      </c>
      <c r="H665" t="str">
        <f>_xlfn.IFNA(+VLOOKUP(G665,Agrupacion!A:B,2,0),"")</f>
        <v>AGRUPADOR 3</v>
      </c>
      <c r="I665" t="str">
        <f>_xlfn.IFNA(+VLOOKUP(G665,Agrupacion!A:C,3,0),"")</f>
        <v>CABA SUR II</v>
      </c>
      <c r="J665" t="s">
        <v>15</v>
      </c>
      <c r="K665" t="s">
        <v>1717</v>
      </c>
      <c r="M665" t="s">
        <v>8</v>
      </c>
    </row>
    <row r="666" spans="1:13" x14ac:dyDescent="0.2">
      <c r="A666">
        <v>688</v>
      </c>
      <c r="B666" t="s">
        <v>2612</v>
      </c>
      <c r="C666">
        <v>1</v>
      </c>
      <c r="D666" t="s">
        <v>1679</v>
      </c>
      <c r="E666" t="s">
        <v>96</v>
      </c>
      <c r="F666" t="s">
        <v>1679</v>
      </c>
      <c r="G666" t="s">
        <v>2720</v>
      </c>
      <c r="H666" t="str">
        <f>_xlfn.IFNA(+VLOOKUP(G666,Agrupacion!A:B,2,0),"")</f>
        <v>AGRUPADOR 2</v>
      </c>
      <c r="I666" t="str">
        <f>_xlfn.IFNA(+VLOOKUP(G666,Agrupacion!A:C,3,0),"")</f>
        <v>CABA SUR</v>
      </c>
      <c r="J666" t="s">
        <v>156</v>
      </c>
      <c r="K666" t="s">
        <v>1702</v>
      </c>
      <c r="M666" t="s">
        <v>8</v>
      </c>
    </row>
    <row r="667" spans="1:13" x14ac:dyDescent="0.2">
      <c r="A667">
        <v>689</v>
      </c>
      <c r="B667" t="s">
        <v>2613</v>
      </c>
      <c r="C667">
        <v>1</v>
      </c>
      <c r="D667" t="s">
        <v>1718</v>
      </c>
      <c r="E667" t="s">
        <v>10</v>
      </c>
      <c r="F667" t="s">
        <v>1629</v>
      </c>
      <c r="G667" t="s">
        <v>396</v>
      </c>
      <c r="H667" t="str">
        <f>_xlfn.IFNA(+VLOOKUP(G667,Agrupacion!A:B,2,0),"")</f>
        <v>AGRUPADOR 3</v>
      </c>
      <c r="I667" t="str">
        <f>_xlfn.IFNA(+VLOOKUP(G667,Agrupacion!A:C,3,0),"")</f>
        <v>CABA SUR II</v>
      </c>
      <c r="J667" t="s">
        <v>15</v>
      </c>
      <c r="K667" t="s">
        <v>1719</v>
      </c>
      <c r="M667" t="s">
        <v>8</v>
      </c>
    </row>
    <row r="668" spans="1:13" x14ac:dyDescent="0.2">
      <c r="A668">
        <v>690</v>
      </c>
      <c r="B668" t="s">
        <v>2614</v>
      </c>
      <c r="C668">
        <v>1</v>
      </c>
      <c r="D668" t="s">
        <v>1723</v>
      </c>
      <c r="E668" t="s">
        <v>10</v>
      </c>
      <c r="F668" t="s">
        <v>1724</v>
      </c>
      <c r="G668" t="s">
        <v>396</v>
      </c>
      <c r="H668" t="str">
        <f>_xlfn.IFNA(+VLOOKUP(G668,Agrupacion!A:B,2,0),"")</f>
        <v>AGRUPADOR 3</v>
      </c>
      <c r="I668" t="str">
        <f>_xlfn.IFNA(+VLOOKUP(G668,Agrupacion!A:C,3,0),"")</f>
        <v>CABA SUR II</v>
      </c>
      <c r="J668" t="s">
        <v>15</v>
      </c>
      <c r="K668" t="s">
        <v>1725</v>
      </c>
      <c r="M668" t="s">
        <v>8</v>
      </c>
    </row>
    <row r="669" spans="1:13" x14ac:dyDescent="0.2">
      <c r="A669">
        <v>691</v>
      </c>
      <c r="B669" t="s">
        <v>2615</v>
      </c>
      <c r="C669">
        <v>1</v>
      </c>
      <c r="D669" t="s">
        <v>1726</v>
      </c>
      <c r="E669" t="s">
        <v>10</v>
      </c>
      <c r="F669" t="s">
        <v>479</v>
      </c>
      <c r="G669" t="s">
        <v>396</v>
      </c>
      <c r="H669" t="str">
        <f>_xlfn.IFNA(+VLOOKUP(G669,Agrupacion!A:B,2,0),"")</f>
        <v>AGRUPADOR 3</v>
      </c>
      <c r="I669" t="str">
        <f>_xlfn.IFNA(+VLOOKUP(G669,Agrupacion!A:C,3,0),"")</f>
        <v>CABA SUR II</v>
      </c>
      <c r="J669" t="s">
        <v>15</v>
      </c>
      <c r="M669" t="s">
        <v>8</v>
      </c>
    </row>
    <row r="670" spans="1:13" x14ac:dyDescent="0.2">
      <c r="A670">
        <v>692</v>
      </c>
      <c r="B670" t="s">
        <v>2616</v>
      </c>
      <c r="C670">
        <v>1</v>
      </c>
      <c r="D670" t="s">
        <v>1727</v>
      </c>
      <c r="E670" t="s">
        <v>10</v>
      </c>
      <c r="F670" t="s">
        <v>1728</v>
      </c>
      <c r="G670" t="s">
        <v>170</v>
      </c>
      <c r="H670" t="str">
        <f>_xlfn.IFNA(+VLOOKUP(G670,Agrupacion!A:B,2,0),"")</f>
        <v>AGRUPADOR 2</v>
      </c>
      <c r="I670" t="str">
        <f>_xlfn.IFNA(+VLOOKUP(G670,Agrupacion!A:C,3,0),"")</f>
        <v>CABA SUR</v>
      </c>
      <c r="J670" t="s">
        <v>15</v>
      </c>
      <c r="K670" t="s">
        <v>1729</v>
      </c>
      <c r="M670" t="s">
        <v>8</v>
      </c>
    </row>
    <row r="671" spans="1:13" x14ac:dyDescent="0.2">
      <c r="A671">
        <v>693</v>
      </c>
      <c r="B671" t="s">
        <v>2617</v>
      </c>
      <c r="C671">
        <v>1</v>
      </c>
      <c r="D671" t="s">
        <v>1730</v>
      </c>
      <c r="E671" t="s">
        <v>10</v>
      </c>
      <c r="F671" t="s">
        <v>1731</v>
      </c>
      <c r="G671" t="s">
        <v>396</v>
      </c>
      <c r="H671" t="str">
        <f>_xlfn.IFNA(+VLOOKUP(G671,Agrupacion!A:B,2,0),"")</f>
        <v>AGRUPADOR 3</v>
      </c>
      <c r="I671" t="str">
        <f>_xlfn.IFNA(+VLOOKUP(G671,Agrupacion!A:C,3,0),"")</f>
        <v>CABA SUR II</v>
      </c>
      <c r="J671" t="s">
        <v>15</v>
      </c>
      <c r="K671" t="s">
        <v>1732</v>
      </c>
      <c r="M671" t="s">
        <v>8</v>
      </c>
    </row>
    <row r="672" spans="1:13" x14ac:dyDescent="0.2">
      <c r="A672">
        <v>694</v>
      </c>
      <c r="B672" t="s">
        <v>2618</v>
      </c>
      <c r="C672">
        <v>1</v>
      </c>
      <c r="D672" t="s">
        <v>1733</v>
      </c>
      <c r="E672" t="s">
        <v>10</v>
      </c>
      <c r="F672" t="s">
        <v>1734</v>
      </c>
      <c r="G672" t="s">
        <v>396</v>
      </c>
      <c r="H672" t="str">
        <f>_xlfn.IFNA(+VLOOKUP(G672,Agrupacion!A:B,2,0),"")</f>
        <v>AGRUPADOR 3</v>
      </c>
      <c r="I672" t="str">
        <f>_xlfn.IFNA(+VLOOKUP(G672,Agrupacion!A:C,3,0),"")</f>
        <v>CABA SUR II</v>
      </c>
      <c r="J672" t="s">
        <v>15</v>
      </c>
      <c r="K672" t="s">
        <v>1735</v>
      </c>
      <c r="M672" t="s">
        <v>8</v>
      </c>
    </row>
    <row r="673" spans="1:13" x14ac:dyDescent="0.2">
      <c r="A673">
        <v>695</v>
      </c>
      <c r="B673" t="s">
        <v>2619</v>
      </c>
      <c r="C673">
        <v>1</v>
      </c>
      <c r="D673" t="s">
        <v>1736</v>
      </c>
      <c r="E673" t="s">
        <v>96</v>
      </c>
      <c r="F673" t="s">
        <v>1737</v>
      </c>
      <c r="G673" t="s">
        <v>224</v>
      </c>
      <c r="H673" t="str">
        <f>_xlfn.IFNA(+VLOOKUP(G673,Agrupacion!A:B,2,0),"")</f>
        <v>AGRUPADOR 3</v>
      </c>
      <c r="I673" t="str">
        <f>_xlfn.IFNA(+VLOOKUP(G673,Agrupacion!A:C,3,0),"")</f>
        <v>CABA SUR II</v>
      </c>
      <c r="J673" t="s">
        <v>225</v>
      </c>
      <c r="K673" t="s">
        <v>1738</v>
      </c>
      <c r="M673" t="s">
        <v>8</v>
      </c>
    </row>
    <row r="674" spans="1:13" x14ac:dyDescent="0.2">
      <c r="A674">
        <v>696</v>
      </c>
      <c r="B674" t="s">
        <v>2620</v>
      </c>
      <c r="C674">
        <v>1</v>
      </c>
      <c r="D674" t="s">
        <v>1559</v>
      </c>
      <c r="E674" t="s">
        <v>10</v>
      </c>
      <c r="F674" t="s">
        <v>1560</v>
      </c>
      <c r="G674" t="s">
        <v>396</v>
      </c>
      <c r="H674" t="str">
        <f>_xlfn.IFNA(+VLOOKUP(G674,Agrupacion!A:B,2,0),"")</f>
        <v>AGRUPADOR 3</v>
      </c>
      <c r="I674" t="str">
        <f>_xlfn.IFNA(+VLOOKUP(G674,Agrupacion!A:C,3,0),"")</f>
        <v>CABA SUR II</v>
      </c>
      <c r="J674" t="s">
        <v>15</v>
      </c>
      <c r="K674" t="s">
        <v>1739</v>
      </c>
      <c r="M674" t="s">
        <v>8</v>
      </c>
    </row>
    <row r="675" spans="1:13" x14ac:dyDescent="0.2">
      <c r="A675">
        <v>697</v>
      </c>
      <c r="B675" t="s">
        <v>2621</v>
      </c>
      <c r="C675">
        <v>1</v>
      </c>
      <c r="D675" t="s">
        <v>1740</v>
      </c>
      <c r="E675" t="s">
        <v>10</v>
      </c>
      <c r="F675" t="s">
        <v>1741</v>
      </c>
      <c r="G675" t="s">
        <v>170</v>
      </c>
      <c r="H675" t="str">
        <f>_xlfn.IFNA(+VLOOKUP(G675,Agrupacion!A:B,2,0),"")</f>
        <v>AGRUPADOR 2</v>
      </c>
      <c r="I675" t="str">
        <f>_xlfn.IFNA(+VLOOKUP(G675,Agrupacion!A:C,3,0),"")</f>
        <v>CABA SUR</v>
      </c>
      <c r="J675" t="s">
        <v>15</v>
      </c>
      <c r="K675" t="s">
        <v>1742</v>
      </c>
      <c r="M675" t="s">
        <v>8</v>
      </c>
    </row>
    <row r="676" spans="1:13" x14ac:dyDescent="0.2">
      <c r="A676">
        <v>698</v>
      </c>
      <c r="B676" t="s">
        <v>2622</v>
      </c>
      <c r="C676">
        <v>1</v>
      </c>
      <c r="D676" t="s">
        <v>1743</v>
      </c>
      <c r="E676" t="s">
        <v>10</v>
      </c>
      <c r="F676" t="s">
        <v>1744</v>
      </c>
      <c r="G676" t="s">
        <v>396</v>
      </c>
      <c r="H676" t="str">
        <f>_xlfn.IFNA(+VLOOKUP(G676,Agrupacion!A:B,2,0),"")</f>
        <v>AGRUPADOR 3</v>
      </c>
      <c r="I676" t="str">
        <f>_xlfn.IFNA(+VLOOKUP(G676,Agrupacion!A:C,3,0),"")</f>
        <v>CABA SUR II</v>
      </c>
      <c r="J676" t="s">
        <v>15</v>
      </c>
      <c r="M676" t="s">
        <v>8</v>
      </c>
    </row>
    <row r="677" spans="1:13" x14ac:dyDescent="0.2">
      <c r="A677">
        <v>699</v>
      </c>
      <c r="B677" t="s">
        <v>2623</v>
      </c>
      <c r="C677">
        <v>1</v>
      </c>
      <c r="D677" t="s">
        <v>1745</v>
      </c>
      <c r="E677" t="s">
        <v>96</v>
      </c>
      <c r="F677" t="s">
        <v>1746</v>
      </c>
      <c r="G677" t="s">
        <v>1747</v>
      </c>
      <c r="H677" t="str">
        <f>_xlfn.IFNA(+VLOOKUP(G677,Agrupacion!A:B,2,0),"")</f>
        <v>AGRUPADOR 5</v>
      </c>
      <c r="I677" t="str">
        <f>_xlfn.IFNA(+VLOOKUP(G677,Agrupacion!A:C,3,0),"")</f>
        <v>GBA SUR II</v>
      </c>
      <c r="J677" t="s">
        <v>1748</v>
      </c>
      <c r="K677" t="s">
        <v>1749</v>
      </c>
      <c r="M677" t="s">
        <v>8</v>
      </c>
    </row>
    <row r="678" spans="1:13" x14ac:dyDescent="0.2">
      <c r="A678">
        <v>700</v>
      </c>
      <c r="B678" t="s">
        <v>2624</v>
      </c>
      <c r="C678">
        <v>1</v>
      </c>
      <c r="D678" t="s">
        <v>1753</v>
      </c>
      <c r="E678" t="s">
        <v>10</v>
      </c>
      <c r="F678" t="s">
        <v>1753</v>
      </c>
      <c r="G678" t="s">
        <v>2699</v>
      </c>
      <c r="H678" t="str">
        <f>_xlfn.IFNA(+VLOOKUP(G678,Agrupacion!A:B,2,0),"")</f>
        <v>AGRUPADOR 2</v>
      </c>
      <c r="I678" t="str">
        <f>_xlfn.IFNA(+VLOOKUP(G678,Agrupacion!A:C,3,0),"")</f>
        <v>CABA SUR</v>
      </c>
      <c r="J678" t="s">
        <v>15</v>
      </c>
      <c r="K678" t="s">
        <v>1754</v>
      </c>
      <c r="M678" t="s">
        <v>8</v>
      </c>
    </row>
    <row r="679" spans="1:13" x14ac:dyDescent="0.2">
      <c r="A679">
        <v>701</v>
      </c>
      <c r="B679" t="s">
        <v>2625</v>
      </c>
      <c r="C679">
        <v>1</v>
      </c>
      <c r="D679" t="s">
        <v>1755</v>
      </c>
      <c r="E679" t="s">
        <v>10</v>
      </c>
      <c r="F679" t="s">
        <v>1756</v>
      </c>
      <c r="G679" t="s">
        <v>396</v>
      </c>
      <c r="H679" t="str">
        <f>_xlfn.IFNA(+VLOOKUP(G679,Agrupacion!A:B,2,0),"")</f>
        <v>AGRUPADOR 3</v>
      </c>
      <c r="I679" t="str">
        <f>_xlfn.IFNA(+VLOOKUP(G679,Agrupacion!A:C,3,0),"")</f>
        <v>CABA SUR II</v>
      </c>
      <c r="J679" t="s">
        <v>15</v>
      </c>
      <c r="K679" t="s">
        <v>1757</v>
      </c>
      <c r="M679" t="s">
        <v>8</v>
      </c>
    </row>
    <row r="680" spans="1:13" x14ac:dyDescent="0.2">
      <c r="A680">
        <v>702</v>
      </c>
      <c r="B680" t="s">
        <v>2626</v>
      </c>
      <c r="C680">
        <v>1</v>
      </c>
      <c r="D680" t="s">
        <v>1758</v>
      </c>
      <c r="E680" t="s">
        <v>10</v>
      </c>
      <c r="F680" t="s">
        <v>1759</v>
      </c>
      <c r="G680" t="s">
        <v>396</v>
      </c>
      <c r="H680" t="str">
        <f>_xlfn.IFNA(+VLOOKUP(G680,Agrupacion!A:B,2,0),"")</f>
        <v>AGRUPADOR 3</v>
      </c>
      <c r="I680" t="str">
        <f>_xlfn.IFNA(+VLOOKUP(G680,Agrupacion!A:C,3,0),"")</f>
        <v>CABA SUR II</v>
      </c>
      <c r="J680" t="s">
        <v>15</v>
      </c>
      <c r="M680" t="s">
        <v>8</v>
      </c>
    </row>
    <row r="681" spans="1:13" x14ac:dyDescent="0.2">
      <c r="A681">
        <v>703</v>
      </c>
      <c r="B681" t="s">
        <v>2627</v>
      </c>
      <c r="C681">
        <v>1</v>
      </c>
      <c r="D681" t="s">
        <v>1760</v>
      </c>
      <c r="E681" t="s">
        <v>10</v>
      </c>
      <c r="F681" t="s">
        <v>1433</v>
      </c>
      <c r="G681" t="s">
        <v>170</v>
      </c>
      <c r="H681" t="str">
        <f>_xlfn.IFNA(+VLOOKUP(G681,Agrupacion!A:B,2,0),"")</f>
        <v>AGRUPADOR 2</v>
      </c>
      <c r="I681" t="str">
        <f>_xlfn.IFNA(+VLOOKUP(G681,Agrupacion!A:C,3,0),"")</f>
        <v>CABA SUR</v>
      </c>
      <c r="J681" t="s">
        <v>15</v>
      </c>
      <c r="M681" t="s">
        <v>8</v>
      </c>
    </row>
    <row r="682" spans="1:13" x14ac:dyDescent="0.2">
      <c r="A682">
        <v>704</v>
      </c>
      <c r="B682" t="s">
        <v>2628</v>
      </c>
      <c r="C682">
        <v>1</v>
      </c>
      <c r="D682" t="s">
        <v>1761</v>
      </c>
      <c r="E682" t="s">
        <v>10</v>
      </c>
      <c r="F682" t="s">
        <v>1762</v>
      </c>
      <c r="G682" t="s">
        <v>201</v>
      </c>
      <c r="H682" t="str">
        <f>_xlfn.IFNA(+VLOOKUP(G682,Agrupacion!A:B,2,0),"")</f>
        <v>AGRUPADOR 2</v>
      </c>
      <c r="I682" t="str">
        <f>_xlfn.IFNA(+VLOOKUP(G682,Agrupacion!A:C,3,0),"")</f>
        <v>CABA SUR</v>
      </c>
      <c r="J682" t="s">
        <v>15</v>
      </c>
      <c r="M682" t="s">
        <v>8</v>
      </c>
    </row>
    <row r="683" spans="1:13" x14ac:dyDescent="0.2">
      <c r="A683">
        <v>705</v>
      </c>
      <c r="B683" t="s">
        <v>2452</v>
      </c>
      <c r="C683">
        <v>1</v>
      </c>
      <c r="D683" t="s">
        <v>1763</v>
      </c>
      <c r="E683" t="s">
        <v>96</v>
      </c>
      <c r="F683" t="s">
        <v>223</v>
      </c>
      <c r="G683" t="s">
        <v>224</v>
      </c>
      <c r="H683" t="str">
        <f>_xlfn.IFNA(+VLOOKUP(G683,Agrupacion!A:B,2,0),"")</f>
        <v>AGRUPADOR 3</v>
      </c>
      <c r="I683" t="str">
        <f>_xlfn.IFNA(+VLOOKUP(G683,Agrupacion!A:C,3,0),"")</f>
        <v>CABA SUR II</v>
      </c>
      <c r="J683" t="s">
        <v>225</v>
      </c>
      <c r="M683" t="s">
        <v>8</v>
      </c>
    </row>
    <row r="684" spans="1:13" x14ac:dyDescent="0.2">
      <c r="A684">
        <v>706</v>
      </c>
      <c r="B684" t="s">
        <v>2629</v>
      </c>
      <c r="C684">
        <v>1</v>
      </c>
      <c r="D684" t="s">
        <v>1764</v>
      </c>
      <c r="E684" t="s">
        <v>96</v>
      </c>
      <c r="F684" t="s">
        <v>1765</v>
      </c>
      <c r="G684" t="s">
        <v>48</v>
      </c>
      <c r="H684" t="str">
        <f>_xlfn.IFNA(+VLOOKUP(G684,Agrupacion!A:B,2,0),"")</f>
        <v>AGRUPADOR 2</v>
      </c>
      <c r="I684" t="str">
        <f>_xlfn.IFNA(+VLOOKUP(G684,Agrupacion!A:C,3,0),"")</f>
        <v>CABA SUR</v>
      </c>
      <c r="K684" t="s">
        <v>1766</v>
      </c>
      <c r="M684" t="s">
        <v>8</v>
      </c>
    </row>
    <row r="685" spans="1:13" x14ac:dyDescent="0.2">
      <c r="A685">
        <v>707</v>
      </c>
      <c r="B685" t="s">
        <v>2630</v>
      </c>
      <c r="C685">
        <v>1</v>
      </c>
      <c r="D685" t="s">
        <v>1421</v>
      </c>
      <c r="E685" t="s">
        <v>10</v>
      </c>
      <c r="F685" t="s">
        <v>1422</v>
      </c>
      <c r="G685" t="s">
        <v>2698</v>
      </c>
      <c r="H685" t="str">
        <f>_xlfn.IFNA(+VLOOKUP(G685,Agrupacion!A:B,2,0),"")</f>
        <v>AGRUPADOR 1</v>
      </c>
      <c r="I685" t="str">
        <f>_xlfn.IFNA(+VLOOKUP(G685,Agrupacion!A:C,3,0),"")</f>
        <v>CABA NORTE</v>
      </c>
      <c r="J685" t="s">
        <v>320</v>
      </c>
      <c r="K685" t="s">
        <v>1767</v>
      </c>
      <c r="M685" t="s">
        <v>8</v>
      </c>
    </row>
    <row r="686" spans="1:13" x14ac:dyDescent="0.2">
      <c r="A686">
        <v>708</v>
      </c>
      <c r="B686" t="s">
        <v>2631</v>
      </c>
      <c r="C686">
        <v>1</v>
      </c>
      <c r="D686" t="s">
        <v>1768</v>
      </c>
      <c r="E686" t="s">
        <v>10</v>
      </c>
      <c r="F686" t="s">
        <v>1769</v>
      </c>
      <c r="G686" t="s">
        <v>549</v>
      </c>
      <c r="H686" t="str">
        <f>_xlfn.IFNA(+VLOOKUP(G686,Agrupacion!A:B,2,0),"")</f>
        <v>AGRUPADOR 1</v>
      </c>
      <c r="I686" t="str">
        <f>_xlfn.IFNA(+VLOOKUP(G686,Agrupacion!A:C,3,0),"")</f>
        <v>CABA NORTE</v>
      </c>
      <c r="J686" t="s">
        <v>1770</v>
      </c>
      <c r="L686" t="s">
        <v>1771</v>
      </c>
      <c r="M686" t="s">
        <v>8</v>
      </c>
    </row>
    <row r="687" spans="1:13" x14ac:dyDescent="0.2">
      <c r="A687">
        <v>709</v>
      </c>
      <c r="B687" t="s">
        <v>2632</v>
      </c>
      <c r="C687">
        <v>1</v>
      </c>
      <c r="D687" t="s">
        <v>2719</v>
      </c>
      <c r="E687" t="s">
        <v>96</v>
      </c>
      <c r="F687" t="s">
        <v>1772</v>
      </c>
      <c r="G687" t="s">
        <v>396</v>
      </c>
      <c r="H687" t="str">
        <f>_xlfn.IFNA(+VLOOKUP(G687,Agrupacion!A:B,2,0),"")</f>
        <v>AGRUPADOR 3</v>
      </c>
      <c r="I687" t="str">
        <f>_xlfn.IFNA(+VLOOKUP(G687,Agrupacion!A:C,3,0),"")</f>
        <v>CABA SUR II</v>
      </c>
      <c r="J687" t="s">
        <v>1773</v>
      </c>
      <c r="M687" t="s">
        <v>8</v>
      </c>
    </row>
    <row r="688" spans="1:13" x14ac:dyDescent="0.2">
      <c r="A688">
        <v>710</v>
      </c>
      <c r="B688" t="s">
        <v>2633</v>
      </c>
      <c r="C688">
        <v>1</v>
      </c>
      <c r="D688" t="s">
        <v>1775</v>
      </c>
      <c r="E688" t="s">
        <v>10</v>
      </c>
      <c r="F688" t="s">
        <v>1775</v>
      </c>
      <c r="G688" t="s">
        <v>201</v>
      </c>
      <c r="H688" t="str">
        <f>_xlfn.IFNA(+VLOOKUP(G688,Agrupacion!A:B,2,0),"")</f>
        <v>AGRUPADOR 2</v>
      </c>
      <c r="I688" t="str">
        <f>_xlfn.IFNA(+VLOOKUP(G688,Agrupacion!A:C,3,0),"")</f>
        <v>CABA SUR</v>
      </c>
      <c r="K688" t="s">
        <v>1776</v>
      </c>
      <c r="M688" t="s">
        <v>8</v>
      </c>
    </row>
    <row r="689" spans="1:13" x14ac:dyDescent="0.2">
      <c r="A689">
        <v>711</v>
      </c>
      <c r="B689" t="s">
        <v>2348</v>
      </c>
      <c r="C689">
        <v>1</v>
      </c>
      <c r="D689" t="s">
        <v>1777</v>
      </c>
      <c r="E689" t="s">
        <v>96</v>
      </c>
      <c r="F689" t="s">
        <v>1777</v>
      </c>
      <c r="G689" t="s">
        <v>1778</v>
      </c>
      <c r="H689" t="str">
        <f>_xlfn.IFNA(+VLOOKUP(G689,Agrupacion!A:B,2,0),"")</f>
        <v>AGRUPADOR 5</v>
      </c>
      <c r="I689" t="str">
        <f>_xlfn.IFNA(+VLOOKUP(G689,Agrupacion!A:C,3,0),"")</f>
        <v>GBA SUR II</v>
      </c>
      <c r="J689" t="s">
        <v>1779</v>
      </c>
      <c r="K689" t="s">
        <v>1780</v>
      </c>
      <c r="L689" t="s">
        <v>1781</v>
      </c>
      <c r="M689" t="s">
        <v>8</v>
      </c>
    </row>
    <row r="690" spans="1:13" x14ac:dyDescent="0.2">
      <c r="A690">
        <v>712</v>
      </c>
      <c r="B690" t="s">
        <v>2449</v>
      </c>
      <c r="C690">
        <v>1</v>
      </c>
      <c r="D690" t="s">
        <v>1782</v>
      </c>
      <c r="E690" t="s">
        <v>10</v>
      </c>
      <c r="F690" t="s">
        <v>1037</v>
      </c>
      <c r="G690" t="s">
        <v>249</v>
      </c>
      <c r="H690" t="str">
        <f>_xlfn.IFNA(+VLOOKUP(G690,Agrupacion!A:B,2,0),"")</f>
        <v>AGRUPADOR 2</v>
      </c>
      <c r="I690" t="str">
        <f>_xlfn.IFNA(+VLOOKUP(G690,Agrupacion!A:C,3,0),"")</f>
        <v>CABA SUR</v>
      </c>
      <c r="J690" t="s">
        <v>15</v>
      </c>
      <c r="M690" t="s">
        <v>8</v>
      </c>
    </row>
    <row r="691" spans="1:13" x14ac:dyDescent="0.2">
      <c r="A691">
        <v>713</v>
      </c>
      <c r="B691" t="s">
        <v>2598</v>
      </c>
      <c r="C691">
        <v>1</v>
      </c>
      <c r="D691" t="s">
        <v>1783</v>
      </c>
      <c r="E691" t="s">
        <v>10</v>
      </c>
      <c r="F691" t="s">
        <v>1784</v>
      </c>
      <c r="G691" t="s">
        <v>396</v>
      </c>
      <c r="H691" t="str">
        <f>_xlfn.IFNA(+VLOOKUP(G691,Agrupacion!A:B,2,0),"")</f>
        <v>AGRUPADOR 3</v>
      </c>
      <c r="I691" t="str">
        <f>_xlfn.IFNA(+VLOOKUP(G691,Agrupacion!A:C,3,0),"")</f>
        <v>CABA SUR II</v>
      </c>
      <c r="J691" t="s">
        <v>15</v>
      </c>
      <c r="K691" t="s">
        <v>1785</v>
      </c>
      <c r="M691" t="s">
        <v>8</v>
      </c>
    </row>
    <row r="692" spans="1:13" x14ac:dyDescent="0.2">
      <c r="A692">
        <v>714</v>
      </c>
      <c r="B692" t="s">
        <v>2599</v>
      </c>
      <c r="C692">
        <v>1</v>
      </c>
      <c r="D692" t="s">
        <v>1726</v>
      </c>
      <c r="E692" t="s">
        <v>10</v>
      </c>
      <c r="F692" t="s">
        <v>1786</v>
      </c>
      <c r="G692" t="s">
        <v>396</v>
      </c>
      <c r="H692" t="str">
        <f>_xlfn.IFNA(+VLOOKUP(G692,Agrupacion!A:B,2,0),"")</f>
        <v>AGRUPADOR 3</v>
      </c>
      <c r="I692" t="str">
        <f>_xlfn.IFNA(+VLOOKUP(G692,Agrupacion!A:C,3,0),"")</f>
        <v>CABA SUR II</v>
      </c>
      <c r="J692" t="s">
        <v>15</v>
      </c>
      <c r="M692" t="s">
        <v>8</v>
      </c>
    </row>
    <row r="693" spans="1:13" x14ac:dyDescent="0.2">
      <c r="A693">
        <v>715</v>
      </c>
      <c r="B693" t="s">
        <v>2450</v>
      </c>
      <c r="C693">
        <v>1</v>
      </c>
      <c r="D693" t="s">
        <v>1787</v>
      </c>
      <c r="E693" t="s">
        <v>10</v>
      </c>
      <c r="F693" t="s">
        <v>1631</v>
      </c>
      <c r="G693" t="s">
        <v>396</v>
      </c>
      <c r="H693" t="str">
        <f>_xlfn.IFNA(+VLOOKUP(G693,Agrupacion!A:B,2,0),"")</f>
        <v>AGRUPADOR 3</v>
      </c>
      <c r="I693" t="str">
        <f>_xlfn.IFNA(+VLOOKUP(G693,Agrupacion!A:C,3,0),"")</f>
        <v>CABA SUR II</v>
      </c>
      <c r="J693" t="s">
        <v>15</v>
      </c>
      <c r="K693" t="s">
        <v>1788</v>
      </c>
      <c r="L693" t="s">
        <v>1789</v>
      </c>
      <c r="M693" t="s">
        <v>8</v>
      </c>
    </row>
    <row r="694" spans="1:13" x14ac:dyDescent="0.2">
      <c r="A694">
        <v>716</v>
      </c>
      <c r="B694" t="s">
        <v>2600</v>
      </c>
      <c r="C694">
        <v>1</v>
      </c>
      <c r="D694" t="s">
        <v>851</v>
      </c>
      <c r="E694" t="s">
        <v>10</v>
      </c>
      <c r="F694" t="s">
        <v>851</v>
      </c>
      <c r="G694" t="s">
        <v>396</v>
      </c>
      <c r="H694" t="str">
        <f>_xlfn.IFNA(+VLOOKUP(G694,Agrupacion!A:B,2,0),"")</f>
        <v>AGRUPADOR 3</v>
      </c>
      <c r="I694" t="str">
        <f>_xlfn.IFNA(+VLOOKUP(G694,Agrupacion!A:C,3,0),"")</f>
        <v>CABA SUR II</v>
      </c>
      <c r="J694" t="s">
        <v>15</v>
      </c>
      <c r="K694" t="s">
        <v>1790</v>
      </c>
      <c r="M694" t="s">
        <v>8</v>
      </c>
    </row>
    <row r="695" spans="1:13" x14ac:dyDescent="0.2">
      <c r="A695">
        <v>717</v>
      </c>
      <c r="B695" t="s">
        <v>2546</v>
      </c>
      <c r="C695">
        <v>1</v>
      </c>
      <c r="D695" t="s">
        <v>1791</v>
      </c>
      <c r="E695" t="s">
        <v>10</v>
      </c>
      <c r="F695" t="s">
        <v>1792</v>
      </c>
      <c r="G695" t="s">
        <v>396</v>
      </c>
      <c r="H695" t="str">
        <f>_xlfn.IFNA(+VLOOKUP(G695,Agrupacion!A:B,2,0),"")</f>
        <v>AGRUPADOR 3</v>
      </c>
      <c r="I695" t="str">
        <f>_xlfn.IFNA(+VLOOKUP(G695,Agrupacion!A:C,3,0),"")</f>
        <v>CABA SUR II</v>
      </c>
      <c r="J695" t="s">
        <v>15</v>
      </c>
      <c r="M695" t="s">
        <v>8</v>
      </c>
    </row>
    <row r="696" spans="1:13" x14ac:dyDescent="0.2">
      <c r="A696">
        <v>718</v>
      </c>
      <c r="B696" t="s">
        <v>2601</v>
      </c>
      <c r="C696">
        <v>1</v>
      </c>
      <c r="D696" t="s">
        <v>1106</v>
      </c>
      <c r="E696" t="s">
        <v>96</v>
      </c>
      <c r="F696" t="s">
        <v>1793</v>
      </c>
      <c r="G696" t="s">
        <v>249</v>
      </c>
      <c r="H696" t="str">
        <f>_xlfn.IFNA(+VLOOKUP(G696,Agrupacion!A:B,2,0),"")</f>
        <v>AGRUPADOR 2</v>
      </c>
      <c r="I696" t="str">
        <f>_xlfn.IFNA(+VLOOKUP(G696,Agrupacion!A:C,3,0),"")</f>
        <v>CABA SUR</v>
      </c>
      <c r="J696" t="s">
        <v>15</v>
      </c>
      <c r="K696" t="s">
        <v>1794</v>
      </c>
      <c r="M696" t="s">
        <v>8</v>
      </c>
    </row>
    <row r="697" spans="1:13" x14ac:dyDescent="0.2">
      <c r="A697">
        <v>719</v>
      </c>
      <c r="B697" t="s">
        <v>2635</v>
      </c>
      <c r="C697">
        <v>1</v>
      </c>
      <c r="D697" t="s">
        <v>1795</v>
      </c>
      <c r="E697" t="s">
        <v>10</v>
      </c>
      <c r="F697" t="s">
        <v>1796</v>
      </c>
      <c r="G697" t="s">
        <v>396</v>
      </c>
      <c r="H697" t="str">
        <f>_xlfn.IFNA(+VLOOKUP(G697,Agrupacion!A:B,2,0),"")</f>
        <v>AGRUPADOR 3</v>
      </c>
      <c r="I697" t="str">
        <f>_xlfn.IFNA(+VLOOKUP(G697,Agrupacion!A:C,3,0),"")</f>
        <v>CABA SUR II</v>
      </c>
      <c r="J697" t="s">
        <v>15</v>
      </c>
      <c r="K697" t="s">
        <v>1797</v>
      </c>
      <c r="M697" t="s">
        <v>8</v>
      </c>
    </row>
    <row r="698" spans="1:13" x14ac:dyDescent="0.2">
      <c r="A698">
        <v>720</v>
      </c>
      <c r="B698" t="s">
        <v>2636</v>
      </c>
      <c r="C698">
        <v>1</v>
      </c>
      <c r="D698" t="s">
        <v>1798</v>
      </c>
      <c r="E698" t="s">
        <v>10</v>
      </c>
      <c r="F698" t="s">
        <v>1798</v>
      </c>
      <c r="G698" t="s">
        <v>396</v>
      </c>
      <c r="H698" t="str">
        <f>_xlfn.IFNA(+VLOOKUP(G698,Agrupacion!A:B,2,0),"")</f>
        <v>AGRUPADOR 3</v>
      </c>
      <c r="I698" t="str">
        <f>_xlfn.IFNA(+VLOOKUP(G698,Agrupacion!A:C,3,0),"")</f>
        <v>CABA SUR II</v>
      </c>
      <c r="J698" t="s">
        <v>15</v>
      </c>
      <c r="K698" t="s">
        <v>1799</v>
      </c>
      <c r="M698" t="s">
        <v>8</v>
      </c>
    </row>
    <row r="699" spans="1:13" x14ac:dyDescent="0.2">
      <c r="A699">
        <v>721</v>
      </c>
      <c r="B699" t="s">
        <v>1800</v>
      </c>
      <c r="C699">
        <v>1</v>
      </c>
      <c r="D699" t="s">
        <v>1800</v>
      </c>
      <c r="E699" t="s">
        <v>96</v>
      </c>
      <c r="F699" t="s">
        <v>1801</v>
      </c>
      <c r="G699" t="s">
        <v>1802</v>
      </c>
      <c r="H699" t="str">
        <f>_xlfn.IFNA(+VLOOKUP(G699,Agrupacion!A:B,2,0),"")</f>
        <v>AGRUPADOR 8</v>
      </c>
      <c r="I699" t="str">
        <f>_xlfn.IFNA(+VLOOKUP(G699,Agrupacion!A:C,3,0),"")</f>
        <v>GBA NORTE</v>
      </c>
      <c r="J699" t="s">
        <v>1803</v>
      </c>
      <c r="M699" t="s">
        <v>8</v>
      </c>
    </row>
    <row r="700" spans="1:13" x14ac:dyDescent="0.2">
      <c r="A700">
        <v>722</v>
      </c>
      <c r="B700" t="s">
        <v>2637</v>
      </c>
      <c r="C700">
        <v>1</v>
      </c>
      <c r="D700" t="s">
        <v>1804</v>
      </c>
      <c r="E700" t="s">
        <v>96</v>
      </c>
      <c r="F700" t="s">
        <v>1805</v>
      </c>
      <c r="G700" t="s">
        <v>1802</v>
      </c>
      <c r="H700" t="str">
        <f>_xlfn.IFNA(+VLOOKUP(G700,Agrupacion!A:B,2,0),"")</f>
        <v>AGRUPADOR 8</v>
      </c>
      <c r="I700" t="str">
        <f>_xlfn.IFNA(+VLOOKUP(G700,Agrupacion!A:C,3,0),"")</f>
        <v>GBA NORTE</v>
      </c>
      <c r="J700" t="s">
        <v>1803</v>
      </c>
      <c r="M700" t="s">
        <v>8</v>
      </c>
    </row>
    <row r="701" spans="1:13" x14ac:dyDescent="0.2">
      <c r="A701">
        <v>723</v>
      </c>
      <c r="B701" t="s">
        <v>2638</v>
      </c>
      <c r="C701">
        <v>1</v>
      </c>
      <c r="D701" t="s">
        <v>1806</v>
      </c>
      <c r="E701" t="s">
        <v>10</v>
      </c>
      <c r="F701" t="s">
        <v>1806</v>
      </c>
      <c r="G701" t="s">
        <v>396</v>
      </c>
      <c r="H701" t="str">
        <f>_xlfn.IFNA(+VLOOKUP(G701,Agrupacion!A:B,2,0),"")</f>
        <v>AGRUPADOR 3</v>
      </c>
      <c r="I701" t="str">
        <f>_xlfn.IFNA(+VLOOKUP(G701,Agrupacion!A:C,3,0),"")</f>
        <v>CABA SUR II</v>
      </c>
      <c r="J701" t="s">
        <v>1807</v>
      </c>
      <c r="K701" t="s">
        <v>463</v>
      </c>
      <c r="M701" t="s">
        <v>8</v>
      </c>
    </row>
    <row r="702" spans="1:13" x14ac:dyDescent="0.2">
      <c r="A702">
        <v>724</v>
      </c>
      <c r="B702" t="s">
        <v>2639</v>
      </c>
      <c r="C702">
        <v>1</v>
      </c>
      <c r="D702" t="s">
        <v>1808</v>
      </c>
      <c r="E702" t="s">
        <v>10</v>
      </c>
      <c r="F702" t="s">
        <v>1809</v>
      </c>
      <c r="G702" t="s">
        <v>396</v>
      </c>
      <c r="H702" t="str">
        <f>_xlfn.IFNA(+VLOOKUP(G702,Agrupacion!A:B,2,0),"")</f>
        <v>AGRUPADOR 3</v>
      </c>
      <c r="I702" t="str">
        <f>_xlfn.IFNA(+VLOOKUP(G702,Agrupacion!A:C,3,0),"")</f>
        <v>CABA SUR II</v>
      </c>
      <c r="J702" t="s">
        <v>15</v>
      </c>
      <c r="M702" t="s">
        <v>8</v>
      </c>
    </row>
    <row r="703" spans="1:13" x14ac:dyDescent="0.2">
      <c r="A703">
        <v>725</v>
      </c>
      <c r="B703" t="s">
        <v>2640</v>
      </c>
      <c r="C703">
        <v>1</v>
      </c>
      <c r="D703" t="s">
        <v>1810</v>
      </c>
      <c r="E703" t="s">
        <v>96</v>
      </c>
      <c r="F703" t="s">
        <v>1811</v>
      </c>
      <c r="G703" t="s">
        <v>1812</v>
      </c>
      <c r="H703" t="str">
        <f>_xlfn.IFNA(+VLOOKUP(G703,Agrupacion!A:B,2,0),"")</f>
        <v>AGRUPADOR 6</v>
      </c>
      <c r="I703" t="str">
        <f>_xlfn.IFNA(+VLOOKUP(G703,Agrupacion!A:C,3,0),"")</f>
        <v>GBA OESTE</v>
      </c>
      <c r="J703" t="s">
        <v>1813</v>
      </c>
      <c r="K703" t="s">
        <v>1814</v>
      </c>
      <c r="M703" t="s">
        <v>8</v>
      </c>
    </row>
    <row r="704" spans="1:13" x14ac:dyDescent="0.2">
      <c r="A704">
        <v>726</v>
      </c>
      <c r="B704" t="s">
        <v>2641</v>
      </c>
      <c r="C704">
        <v>1</v>
      </c>
      <c r="D704" t="s">
        <v>1045</v>
      </c>
      <c r="E704" t="s">
        <v>10</v>
      </c>
      <c r="F704" t="s">
        <v>1045</v>
      </c>
      <c r="G704" t="s">
        <v>396</v>
      </c>
      <c r="H704" t="str">
        <f>_xlfn.IFNA(+VLOOKUP(G704,Agrupacion!A:B,2,0),"")</f>
        <v>AGRUPADOR 3</v>
      </c>
      <c r="I704" t="str">
        <f>_xlfn.IFNA(+VLOOKUP(G704,Agrupacion!A:C,3,0),"")</f>
        <v>CABA SUR II</v>
      </c>
      <c r="J704" t="s">
        <v>15</v>
      </c>
      <c r="M704" t="s">
        <v>8</v>
      </c>
    </row>
    <row r="705" spans="1:13" x14ac:dyDescent="0.2">
      <c r="A705">
        <v>727</v>
      </c>
      <c r="B705" t="s">
        <v>2642</v>
      </c>
      <c r="C705">
        <v>1</v>
      </c>
      <c r="D705" t="s">
        <v>1815</v>
      </c>
      <c r="E705" t="s">
        <v>10</v>
      </c>
      <c r="F705" t="s">
        <v>1816</v>
      </c>
      <c r="G705" t="s">
        <v>2697</v>
      </c>
      <c r="H705" t="str">
        <f>_xlfn.IFNA(+VLOOKUP(G705,Agrupacion!A:B,2,0),"")</f>
        <v>AGRUPADOR 3</v>
      </c>
      <c r="I705" t="str">
        <f>_xlfn.IFNA(+VLOOKUP(G705,Agrupacion!A:C,3,0),"")</f>
        <v>CABA SUR II</v>
      </c>
      <c r="J705" t="s">
        <v>15</v>
      </c>
      <c r="M705" t="s">
        <v>8</v>
      </c>
    </row>
    <row r="706" spans="1:13" x14ac:dyDescent="0.2">
      <c r="A706">
        <v>728</v>
      </c>
      <c r="B706" t="s">
        <v>2643</v>
      </c>
      <c r="C706">
        <v>1</v>
      </c>
      <c r="D706" t="s">
        <v>1817</v>
      </c>
      <c r="E706" t="s">
        <v>10</v>
      </c>
      <c r="F706" t="s">
        <v>1818</v>
      </c>
      <c r="G706" t="s">
        <v>396</v>
      </c>
      <c r="H706" t="str">
        <f>_xlfn.IFNA(+VLOOKUP(G706,Agrupacion!A:B,2,0),"")</f>
        <v>AGRUPADOR 3</v>
      </c>
      <c r="I706" t="str">
        <f>_xlfn.IFNA(+VLOOKUP(G706,Agrupacion!A:C,3,0),"")</f>
        <v>CABA SUR II</v>
      </c>
      <c r="J706" t="s">
        <v>282</v>
      </c>
      <c r="K706" t="s">
        <v>1819</v>
      </c>
      <c r="M706" t="s">
        <v>8</v>
      </c>
    </row>
    <row r="707" spans="1:13" x14ac:dyDescent="0.2">
      <c r="A707">
        <v>729</v>
      </c>
      <c r="B707" t="s">
        <v>2644</v>
      </c>
      <c r="C707">
        <v>1</v>
      </c>
      <c r="D707" t="s">
        <v>1820</v>
      </c>
      <c r="E707" t="s">
        <v>10</v>
      </c>
      <c r="F707" t="s">
        <v>1753</v>
      </c>
      <c r="G707" t="s">
        <v>2699</v>
      </c>
      <c r="H707" t="str">
        <f>_xlfn.IFNA(+VLOOKUP(G707,Agrupacion!A:B,2,0),"")</f>
        <v>AGRUPADOR 2</v>
      </c>
      <c r="I707" t="str">
        <f>_xlfn.IFNA(+VLOOKUP(G707,Agrupacion!A:C,3,0),"")</f>
        <v>CABA SUR</v>
      </c>
      <c r="J707" t="s">
        <v>1050</v>
      </c>
      <c r="K707" t="s">
        <v>1821</v>
      </c>
      <c r="M707" t="s">
        <v>8</v>
      </c>
    </row>
    <row r="708" spans="1:13" x14ac:dyDescent="0.2">
      <c r="A708">
        <v>730</v>
      </c>
      <c r="B708" t="s">
        <v>2645</v>
      </c>
      <c r="C708">
        <v>1</v>
      </c>
      <c r="D708" t="s">
        <v>1824</v>
      </c>
      <c r="E708" t="s">
        <v>96</v>
      </c>
      <c r="F708" t="s">
        <v>1679</v>
      </c>
      <c r="G708" t="s">
        <v>2720</v>
      </c>
      <c r="H708" t="str">
        <f>_xlfn.IFNA(+VLOOKUP(G708,Agrupacion!A:B,2,0),"")</f>
        <v>AGRUPADOR 2</v>
      </c>
      <c r="I708" t="str">
        <f>_xlfn.IFNA(+VLOOKUP(G708,Agrupacion!A:C,3,0),"")</f>
        <v>CABA SUR</v>
      </c>
      <c r="J708" t="s">
        <v>156</v>
      </c>
      <c r="K708" t="s">
        <v>1825</v>
      </c>
      <c r="M708" t="s">
        <v>8</v>
      </c>
    </row>
    <row r="709" spans="1:13" x14ac:dyDescent="0.2">
      <c r="A709">
        <v>731</v>
      </c>
      <c r="B709" t="s">
        <v>2646</v>
      </c>
      <c r="C709">
        <v>1</v>
      </c>
      <c r="D709" t="s">
        <v>1826</v>
      </c>
      <c r="E709" t="s">
        <v>10</v>
      </c>
      <c r="F709" t="s">
        <v>1422</v>
      </c>
      <c r="G709" t="s">
        <v>2698</v>
      </c>
      <c r="H709" t="str">
        <f>_xlfn.IFNA(+VLOOKUP(G709,Agrupacion!A:B,2,0),"")</f>
        <v>AGRUPADOR 1</v>
      </c>
      <c r="I709" t="str">
        <f>_xlfn.IFNA(+VLOOKUP(G709,Agrupacion!A:C,3,0),"")</f>
        <v>CABA NORTE</v>
      </c>
      <c r="J709" t="s">
        <v>320</v>
      </c>
      <c r="K709" t="s">
        <v>1827</v>
      </c>
      <c r="M709" t="s">
        <v>8</v>
      </c>
    </row>
    <row r="710" spans="1:13" x14ac:dyDescent="0.2">
      <c r="A710">
        <v>732</v>
      </c>
      <c r="B710" t="s">
        <v>2647</v>
      </c>
      <c r="C710">
        <v>1</v>
      </c>
      <c r="D710" t="s">
        <v>1828</v>
      </c>
      <c r="E710" t="s">
        <v>10</v>
      </c>
      <c r="F710" t="s">
        <v>1828</v>
      </c>
      <c r="G710" t="s">
        <v>396</v>
      </c>
      <c r="H710" t="str">
        <f>_xlfn.IFNA(+VLOOKUP(G710,Agrupacion!A:B,2,0),"")</f>
        <v>AGRUPADOR 3</v>
      </c>
      <c r="I710" t="str">
        <f>_xlfn.IFNA(+VLOOKUP(G710,Agrupacion!A:C,3,0),"")</f>
        <v>CABA SUR II</v>
      </c>
      <c r="J710" t="s">
        <v>15</v>
      </c>
      <c r="K710" t="s">
        <v>1829</v>
      </c>
      <c r="M710" t="s">
        <v>8</v>
      </c>
    </row>
    <row r="711" spans="1:13" x14ac:dyDescent="0.2">
      <c r="A711">
        <v>733</v>
      </c>
      <c r="B711" t="s">
        <v>2662</v>
      </c>
      <c r="C711">
        <v>1</v>
      </c>
      <c r="D711" t="s">
        <v>1795</v>
      </c>
      <c r="E711" t="s">
        <v>10</v>
      </c>
      <c r="F711" t="s">
        <v>1796</v>
      </c>
      <c r="G711" t="s">
        <v>396</v>
      </c>
      <c r="H711" t="str">
        <f>_xlfn.IFNA(+VLOOKUP(G711,Agrupacion!A:B,2,0),"")</f>
        <v>AGRUPADOR 3</v>
      </c>
      <c r="I711" t="str">
        <f>_xlfn.IFNA(+VLOOKUP(G711,Agrupacion!A:C,3,0),"")</f>
        <v>CABA SUR II</v>
      </c>
      <c r="J711" t="s">
        <v>15</v>
      </c>
      <c r="K711" t="s">
        <v>1830</v>
      </c>
      <c r="M711" t="s">
        <v>8</v>
      </c>
    </row>
    <row r="712" spans="1:13" x14ac:dyDescent="0.2">
      <c r="A712">
        <v>734</v>
      </c>
      <c r="B712" t="s">
        <v>2648</v>
      </c>
      <c r="C712">
        <v>1</v>
      </c>
      <c r="D712" t="s">
        <v>1831</v>
      </c>
      <c r="E712" t="s">
        <v>10</v>
      </c>
      <c r="F712" t="s">
        <v>1832</v>
      </c>
      <c r="G712" t="s">
        <v>396</v>
      </c>
      <c r="H712" t="str">
        <f>_xlfn.IFNA(+VLOOKUP(G712,Agrupacion!A:B,2,0),"")</f>
        <v>AGRUPADOR 3</v>
      </c>
      <c r="I712" t="str">
        <f>_xlfn.IFNA(+VLOOKUP(G712,Agrupacion!A:C,3,0),"")</f>
        <v>CABA SUR II</v>
      </c>
      <c r="J712" t="s">
        <v>15</v>
      </c>
      <c r="M712" t="s">
        <v>8</v>
      </c>
    </row>
    <row r="713" spans="1:13" x14ac:dyDescent="0.2">
      <c r="A713">
        <v>735</v>
      </c>
      <c r="B713" t="s">
        <v>2663</v>
      </c>
      <c r="C713">
        <v>1</v>
      </c>
      <c r="D713" t="s">
        <v>1833</v>
      </c>
      <c r="E713" t="s">
        <v>10</v>
      </c>
      <c r="F713" t="s">
        <v>1834</v>
      </c>
      <c r="G713" t="s">
        <v>396</v>
      </c>
      <c r="H713" t="str">
        <f>_xlfn.IFNA(+VLOOKUP(G713,Agrupacion!A:B,2,0),"")</f>
        <v>AGRUPADOR 3</v>
      </c>
      <c r="I713" t="str">
        <f>_xlfn.IFNA(+VLOOKUP(G713,Agrupacion!A:C,3,0),"")</f>
        <v>CABA SUR II</v>
      </c>
      <c r="J713" t="s">
        <v>15</v>
      </c>
      <c r="K713" t="s">
        <v>1835</v>
      </c>
      <c r="M713" t="s">
        <v>8</v>
      </c>
    </row>
    <row r="714" spans="1:13" x14ac:dyDescent="0.2">
      <c r="A714">
        <v>736</v>
      </c>
      <c r="B714" t="s">
        <v>2666</v>
      </c>
      <c r="C714">
        <v>1</v>
      </c>
      <c r="D714" t="s">
        <v>1836</v>
      </c>
      <c r="E714" t="s">
        <v>10</v>
      </c>
      <c r="F714" t="s">
        <v>1837</v>
      </c>
      <c r="G714" t="s">
        <v>2697</v>
      </c>
      <c r="H714" t="str">
        <f>_xlfn.IFNA(+VLOOKUP(G714,Agrupacion!A:B,2,0),"")</f>
        <v>AGRUPADOR 3</v>
      </c>
      <c r="I714" t="str">
        <f>_xlfn.IFNA(+VLOOKUP(G714,Agrupacion!A:C,3,0),"")</f>
        <v>CABA SUR II</v>
      </c>
      <c r="J714" t="s">
        <v>195</v>
      </c>
      <c r="K714" t="s">
        <v>1838</v>
      </c>
      <c r="M714" t="s">
        <v>8</v>
      </c>
    </row>
    <row r="715" spans="1:13" x14ac:dyDescent="0.2">
      <c r="A715">
        <v>737</v>
      </c>
      <c r="B715" t="s">
        <v>2667</v>
      </c>
      <c r="C715">
        <v>1</v>
      </c>
      <c r="D715" t="s">
        <v>1839</v>
      </c>
      <c r="E715" t="s">
        <v>10</v>
      </c>
      <c r="F715" t="s">
        <v>1504</v>
      </c>
      <c r="G715" t="s">
        <v>396</v>
      </c>
      <c r="H715" t="str">
        <f>_xlfn.IFNA(+VLOOKUP(G715,Agrupacion!A:B,2,0),"")</f>
        <v>AGRUPADOR 3</v>
      </c>
      <c r="I715" t="str">
        <f>_xlfn.IFNA(+VLOOKUP(G715,Agrupacion!A:C,3,0),"")</f>
        <v>CABA SUR II</v>
      </c>
      <c r="J715" t="s">
        <v>15</v>
      </c>
      <c r="K715" t="s">
        <v>1840</v>
      </c>
      <c r="M715" t="s">
        <v>8</v>
      </c>
    </row>
    <row r="716" spans="1:13" x14ac:dyDescent="0.2">
      <c r="A716">
        <v>738</v>
      </c>
      <c r="B716" t="s">
        <v>2664</v>
      </c>
      <c r="C716">
        <v>1</v>
      </c>
      <c r="D716" t="s">
        <v>1841</v>
      </c>
      <c r="E716" t="s">
        <v>10</v>
      </c>
      <c r="F716" t="s">
        <v>1842</v>
      </c>
      <c r="G716" t="s">
        <v>170</v>
      </c>
      <c r="H716" t="str">
        <f>_xlfn.IFNA(+VLOOKUP(G716,Agrupacion!A:B,2,0),"")</f>
        <v>AGRUPADOR 2</v>
      </c>
      <c r="I716" t="str">
        <f>_xlfn.IFNA(+VLOOKUP(G716,Agrupacion!A:C,3,0),"")</f>
        <v>CABA SUR</v>
      </c>
      <c r="J716" t="s">
        <v>15</v>
      </c>
      <c r="K716" t="s">
        <v>1843</v>
      </c>
      <c r="M716" t="s">
        <v>8</v>
      </c>
    </row>
    <row r="717" spans="1:13" x14ac:dyDescent="0.2">
      <c r="A717">
        <v>739</v>
      </c>
      <c r="B717" t="s">
        <v>2649</v>
      </c>
      <c r="C717">
        <v>1</v>
      </c>
      <c r="D717" t="s">
        <v>1844</v>
      </c>
      <c r="E717" t="s">
        <v>96</v>
      </c>
      <c r="F717" t="s">
        <v>1845</v>
      </c>
      <c r="G717" t="s">
        <v>1846</v>
      </c>
      <c r="H717" t="str">
        <f>_xlfn.IFNA(+VLOOKUP(G717,Agrupacion!A:B,2,0),"")</f>
        <v>AGRUPADOR 5</v>
      </c>
      <c r="I717" t="str">
        <f>_xlfn.IFNA(+VLOOKUP(G717,Agrupacion!A:C,3,0),"")</f>
        <v>GBA SUR II</v>
      </c>
      <c r="J717" t="s">
        <v>1847</v>
      </c>
      <c r="K717" t="s">
        <v>1848</v>
      </c>
      <c r="M717" t="s">
        <v>8</v>
      </c>
    </row>
    <row r="718" spans="1:13" x14ac:dyDescent="0.2">
      <c r="A718">
        <v>740</v>
      </c>
      <c r="B718" t="s">
        <v>2665</v>
      </c>
      <c r="C718">
        <v>1</v>
      </c>
      <c r="D718" t="s">
        <v>1850</v>
      </c>
      <c r="E718" t="s">
        <v>10</v>
      </c>
      <c r="F718" t="s">
        <v>1851</v>
      </c>
      <c r="G718" t="s">
        <v>396</v>
      </c>
      <c r="H718" t="str">
        <f>_xlfn.IFNA(+VLOOKUP(G718,Agrupacion!A:B,2,0),"")</f>
        <v>AGRUPADOR 3</v>
      </c>
      <c r="I718" t="str">
        <f>_xlfn.IFNA(+VLOOKUP(G718,Agrupacion!A:C,3,0),"")</f>
        <v>CABA SUR II</v>
      </c>
      <c r="J718" t="s">
        <v>15</v>
      </c>
      <c r="M718" t="s">
        <v>8</v>
      </c>
    </row>
    <row r="719" spans="1:13" x14ac:dyDescent="0.2">
      <c r="A719">
        <v>741</v>
      </c>
      <c r="B719" t="s">
        <v>2670</v>
      </c>
      <c r="C719">
        <v>1</v>
      </c>
      <c r="D719" t="s">
        <v>1852</v>
      </c>
      <c r="E719" t="s">
        <v>10</v>
      </c>
      <c r="F719" t="s">
        <v>590</v>
      </c>
      <c r="G719" t="s">
        <v>48</v>
      </c>
      <c r="H719" t="str">
        <f>_xlfn.IFNA(+VLOOKUP(G719,Agrupacion!A:B,2,0),"")</f>
        <v>AGRUPADOR 2</v>
      </c>
      <c r="I719" t="str">
        <f>_xlfn.IFNA(+VLOOKUP(G719,Agrupacion!A:C,3,0),"")</f>
        <v>CABA SUR</v>
      </c>
      <c r="J719" t="s">
        <v>15</v>
      </c>
      <c r="M719" t="s">
        <v>8</v>
      </c>
    </row>
    <row r="720" spans="1:13" x14ac:dyDescent="0.2">
      <c r="A720">
        <v>742</v>
      </c>
      <c r="B720" t="s">
        <v>2671</v>
      </c>
      <c r="C720">
        <v>1</v>
      </c>
      <c r="D720" t="s">
        <v>1853</v>
      </c>
      <c r="E720" t="s">
        <v>10</v>
      </c>
      <c r="F720" t="s">
        <v>1854</v>
      </c>
      <c r="G720" t="s">
        <v>396</v>
      </c>
      <c r="H720" t="str">
        <f>_xlfn.IFNA(+VLOOKUP(G720,Agrupacion!A:B,2,0),"")</f>
        <v>AGRUPADOR 3</v>
      </c>
      <c r="I720" t="str">
        <f>_xlfn.IFNA(+VLOOKUP(G720,Agrupacion!A:C,3,0),"")</f>
        <v>CABA SUR II</v>
      </c>
      <c r="J720" t="s">
        <v>15</v>
      </c>
      <c r="M720" t="s">
        <v>8</v>
      </c>
    </row>
    <row r="721" spans="1:13" x14ac:dyDescent="0.2">
      <c r="A721">
        <v>743</v>
      </c>
      <c r="B721" t="s">
        <v>2650</v>
      </c>
      <c r="C721">
        <v>1</v>
      </c>
      <c r="D721" t="s">
        <v>1855</v>
      </c>
      <c r="E721" t="s">
        <v>96</v>
      </c>
      <c r="F721" t="s">
        <v>1856</v>
      </c>
      <c r="G721" t="s">
        <v>1857</v>
      </c>
      <c r="H721" t="str">
        <f>_xlfn.IFNA(+VLOOKUP(G721,Agrupacion!A:B,2,0),"")</f>
        <v>AGRUPADOR 8</v>
      </c>
      <c r="I721" t="str">
        <f>_xlfn.IFNA(+VLOOKUP(G721,Agrupacion!A:C,3,0),"")</f>
        <v>GBA NORTE</v>
      </c>
      <c r="J721" t="s">
        <v>1858</v>
      </c>
      <c r="M721" t="s">
        <v>8</v>
      </c>
    </row>
    <row r="722" spans="1:13" x14ac:dyDescent="0.2">
      <c r="A722">
        <v>744</v>
      </c>
      <c r="B722" t="s">
        <v>2672</v>
      </c>
      <c r="C722">
        <v>1</v>
      </c>
      <c r="D722" t="s">
        <v>1859</v>
      </c>
      <c r="E722" t="s">
        <v>10</v>
      </c>
      <c r="F722" t="s">
        <v>1513</v>
      </c>
      <c r="G722" t="s">
        <v>396</v>
      </c>
      <c r="H722" t="str">
        <f>_xlfn.IFNA(+VLOOKUP(G722,Agrupacion!A:B,2,0),"")</f>
        <v>AGRUPADOR 3</v>
      </c>
      <c r="I722" t="str">
        <f>_xlfn.IFNA(+VLOOKUP(G722,Agrupacion!A:C,3,0),"")</f>
        <v>CABA SUR II</v>
      </c>
      <c r="J722" t="s">
        <v>15</v>
      </c>
      <c r="M722" t="s">
        <v>8</v>
      </c>
    </row>
    <row r="723" spans="1:13" x14ac:dyDescent="0.2">
      <c r="A723">
        <v>745</v>
      </c>
      <c r="B723" t="s">
        <v>2651</v>
      </c>
      <c r="C723">
        <v>1</v>
      </c>
      <c r="D723" t="s">
        <v>1860</v>
      </c>
      <c r="E723" t="s">
        <v>96</v>
      </c>
      <c r="F723" t="s">
        <v>1860</v>
      </c>
      <c r="G723" t="s">
        <v>1802</v>
      </c>
      <c r="H723" t="str">
        <f>_xlfn.IFNA(+VLOOKUP(G723,Agrupacion!A:B,2,0),"")</f>
        <v>AGRUPADOR 8</v>
      </c>
      <c r="I723" t="str">
        <f>_xlfn.IFNA(+VLOOKUP(G723,Agrupacion!A:C,3,0),"")</f>
        <v>GBA NORTE</v>
      </c>
      <c r="J723" t="s">
        <v>1803</v>
      </c>
      <c r="K723" t="s">
        <v>1861</v>
      </c>
      <c r="M723" t="s">
        <v>8</v>
      </c>
    </row>
    <row r="724" spans="1:13" x14ac:dyDescent="0.2">
      <c r="A724">
        <v>746</v>
      </c>
      <c r="B724" t="s">
        <v>2673</v>
      </c>
      <c r="C724">
        <v>1</v>
      </c>
      <c r="D724" t="s">
        <v>398</v>
      </c>
      <c r="E724" t="s">
        <v>10</v>
      </c>
      <c r="F724" t="s">
        <v>398</v>
      </c>
      <c r="G724" t="s">
        <v>842</v>
      </c>
      <c r="H724" t="str">
        <f>_xlfn.IFNA(+VLOOKUP(G724,Agrupacion!A:B,2,0),"")</f>
        <v>AGRUPADOR 1</v>
      </c>
      <c r="I724" t="str">
        <f>_xlfn.IFNA(+VLOOKUP(G724,Agrupacion!A:C,3,0),"")</f>
        <v>CABA NORTE</v>
      </c>
      <c r="J724" t="s">
        <v>1862</v>
      </c>
      <c r="K724" t="s">
        <v>1218</v>
      </c>
      <c r="M724" t="s">
        <v>8</v>
      </c>
    </row>
    <row r="725" spans="1:13" x14ac:dyDescent="0.2">
      <c r="A725">
        <v>747</v>
      </c>
      <c r="B725" t="s">
        <v>2652</v>
      </c>
      <c r="C725">
        <v>1</v>
      </c>
      <c r="D725" t="s">
        <v>1863</v>
      </c>
      <c r="E725" t="s">
        <v>10</v>
      </c>
      <c r="F725" t="s">
        <v>1863</v>
      </c>
      <c r="G725" t="s">
        <v>396</v>
      </c>
      <c r="H725" t="str">
        <f>_xlfn.IFNA(+VLOOKUP(G725,Agrupacion!A:B,2,0),"")</f>
        <v>AGRUPADOR 3</v>
      </c>
      <c r="I725" t="str">
        <f>_xlfn.IFNA(+VLOOKUP(G725,Agrupacion!A:C,3,0),"")</f>
        <v>CABA SUR II</v>
      </c>
      <c r="J725" t="s">
        <v>99</v>
      </c>
      <c r="M725" t="s">
        <v>8</v>
      </c>
    </row>
    <row r="726" spans="1:13" x14ac:dyDescent="0.2">
      <c r="A726">
        <v>748</v>
      </c>
      <c r="B726" t="s">
        <v>2653</v>
      </c>
      <c r="C726">
        <v>1</v>
      </c>
      <c r="D726" t="s">
        <v>1864</v>
      </c>
      <c r="E726" t="s">
        <v>10</v>
      </c>
      <c r="F726" t="s">
        <v>1864</v>
      </c>
      <c r="G726" t="s">
        <v>170</v>
      </c>
      <c r="H726" t="str">
        <f>_xlfn.IFNA(+VLOOKUP(G726,Agrupacion!A:B,2,0),"")</f>
        <v>AGRUPADOR 2</v>
      </c>
      <c r="I726" t="str">
        <f>_xlfn.IFNA(+VLOOKUP(G726,Agrupacion!A:C,3,0),"")</f>
        <v>CABA SUR</v>
      </c>
      <c r="J726" t="s">
        <v>115</v>
      </c>
      <c r="K726" t="s">
        <v>1865</v>
      </c>
      <c r="M726" t="s">
        <v>8</v>
      </c>
    </row>
    <row r="727" spans="1:13" x14ac:dyDescent="0.2">
      <c r="A727">
        <v>749</v>
      </c>
      <c r="B727" t="s">
        <v>2654</v>
      </c>
      <c r="C727">
        <v>1</v>
      </c>
      <c r="D727" t="s">
        <v>1866</v>
      </c>
      <c r="E727" t="s">
        <v>10</v>
      </c>
      <c r="F727" t="s">
        <v>1867</v>
      </c>
      <c r="G727" t="s">
        <v>396</v>
      </c>
      <c r="H727" t="str">
        <f>_xlfn.IFNA(+VLOOKUP(G727,Agrupacion!A:B,2,0),"")</f>
        <v>AGRUPADOR 3</v>
      </c>
      <c r="I727" t="str">
        <f>_xlfn.IFNA(+VLOOKUP(G727,Agrupacion!A:C,3,0),"")</f>
        <v>CABA SUR II</v>
      </c>
      <c r="J727" t="s">
        <v>15</v>
      </c>
      <c r="K727" t="s">
        <v>1868</v>
      </c>
      <c r="L727" t="s">
        <v>1869</v>
      </c>
      <c r="M727" t="s">
        <v>8</v>
      </c>
    </row>
    <row r="728" spans="1:13" x14ac:dyDescent="0.2">
      <c r="A728">
        <v>750</v>
      </c>
      <c r="B728" t="s">
        <v>2674</v>
      </c>
      <c r="C728">
        <v>1</v>
      </c>
      <c r="D728" t="s">
        <v>1872</v>
      </c>
      <c r="E728" t="s">
        <v>10</v>
      </c>
      <c r="F728" t="s">
        <v>1873</v>
      </c>
      <c r="G728" t="s">
        <v>170</v>
      </c>
      <c r="H728" t="str">
        <f>_xlfn.IFNA(+VLOOKUP(G728,Agrupacion!A:B,2,0),"")</f>
        <v>AGRUPADOR 2</v>
      </c>
      <c r="I728" t="str">
        <f>_xlfn.IFNA(+VLOOKUP(G728,Agrupacion!A:C,3,0),"")</f>
        <v>CABA SUR</v>
      </c>
      <c r="J728" t="s">
        <v>15</v>
      </c>
      <c r="M728" t="s">
        <v>8</v>
      </c>
    </row>
    <row r="729" spans="1:13" x14ac:dyDescent="0.2">
      <c r="A729">
        <v>751</v>
      </c>
      <c r="B729" t="s">
        <v>2655</v>
      </c>
      <c r="C729">
        <v>1</v>
      </c>
      <c r="D729" t="s">
        <v>1874</v>
      </c>
      <c r="E729" t="s">
        <v>10</v>
      </c>
      <c r="F729" t="s">
        <v>1875</v>
      </c>
      <c r="G729" t="s">
        <v>249</v>
      </c>
      <c r="H729" t="str">
        <f>_xlfn.IFNA(+VLOOKUP(G729,Agrupacion!A:B,2,0),"")</f>
        <v>AGRUPADOR 2</v>
      </c>
      <c r="I729" t="str">
        <f>_xlfn.IFNA(+VLOOKUP(G729,Agrupacion!A:C,3,0),"")</f>
        <v>CABA SUR</v>
      </c>
      <c r="J729" t="s">
        <v>15</v>
      </c>
      <c r="K729" t="s">
        <v>1876</v>
      </c>
      <c r="M729" t="s">
        <v>8</v>
      </c>
    </row>
    <row r="730" spans="1:13" x14ac:dyDescent="0.2">
      <c r="A730">
        <v>752</v>
      </c>
      <c r="B730" t="s">
        <v>2675</v>
      </c>
      <c r="C730">
        <v>1</v>
      </c>
      <c r="D730" t="s">
        <v>1877</v>
      </c>
      <c r="E730" t="s">
        <v>96</v>
      </c>
      <c r="F730" t="s">
        <v>1877</v>
      </c>
      <c r="G730" t="s">
        <v>1878</v>
      </c>
      <c r="H730" t="str">
        <f>_xlfn.IFNA(+VLOOKUP(G730,Agrupacion!A:B,2,0),"")</f>
        <v>AGRUPADOR 8</v>
      </c>
      <c r="I730" t="str">
        <f>_xlfn.IFNA(+VLOOKUP(G730,Agrupacion!A:C,3,0),"")</f>
        <v>GBA NORTE</v>
      </c>
      <c r="J730" t="s">
        <v>1879</v>
      </c>
      <c r="M730" t="s">
        <v>8</v>
      </c>
    </row>
    <row r="731" spans="1:13" x14ac:dyDescent="0.2">
      <c r="A731">
        <v>753</v>
      </c>
      <c r="B731" t="s">
        <v>2656</v>
      </c>
      <c r="C731">
        <v>1</v>
      </c>
      <c r="D731" t="s">
        <v>86</v>
      </c>
      <c r="E731" t="s">
        <v>10</v>
      </c>
      <c r="F731" t="s">
        <v>86</v>
      </c>
      <c r="G731" t="s">
        <v>396</v>
      </c>
      <c r="H731" t="str">
        <f>_xlfn.IFNA(+VLOOKUP(G731,Agrupacion!A:B,2,0),"")</f>
        <v>AGRUPADOR 3</v>
      </c>
      <c r="I731" t="str">
        <f>_xlfn.IFNA(+VLOOKUP(G731,Agrupacion!A:C,3,0),"")</f>
        <v>CABA SUR II</v>
      </c>
      <c r="J731" t="s">
        <v>282</v>
      </c>
      <c r="M731" t="s">
        <v>8</v>
      </c>
    </row>
    <row r="732" spans="1:13" x14ac:dyDescent="0.2">
      <c r="A732">
        <v>754</v>
      </c>
      <c r="B732" t="s">
        <v>2657</v>
      </c>
      <c r="C732">
        <v>1</v>
      </c>
      <c r="D732" t="s">
        <v>1880</v>
      </c>
      <c r="E732" t="s">
        <v>10</v>
      </c>
      <c r="F732" t="s">
        <v>1880</v>
      </c>
      <c r="G732" t="s">
        <v>396</v>
      </c>
      <c r="H732" t="str">
        <f>_xlfn.IFNA(+VLOOKUP(G732,Agrupacion!A:B,2,0),"")</f>
        <v>AGRUPADOR 3</v>
      </c>
      <c r="I732" t="str">
        <f>_xlfn.IFNA(+VLOOKUP(G732,Agrupacion!A:C,3,0),"")</f>
        <v>CABA SUR II</v>
      </c>
      <c r="J732" t="s">
        <v>15</v>
      </c>
      <c r="M732" t="s">
        <v>8</v>
      </c>
    </row>
    <row r="733" spans="1:13" x14ac:dyDescent="0.2">
      <c r="A733">
        <v>755</v>
      </c>
      <c r="B733" t="s">
        <v>2658</v>
      </c>
      <c r="C733">
        <v>1</v>
      </c>
      <c r="D733" t="s">
        <v>1881</v>
      </c>
      <c r="E733" t="s">
        <v>10</v>
      </c>
      <c r="F733" t="s">
        <v>1881</v>
      </c>
      <c r="G733" t="s">
        <v>396</v>
      </c>
      <c r="H733" t="str">
        <f>_xlfn.IFNA(+VLOOKUP(G733,Agrupacion!A:B,2,0),"")</f>
        <v>AGRUPADOR 3</v>
      </c>
      <c r="I733" t="str">
        <f>_xlfn.IFNA(+VLOOKUP(G733,Agrupacion!A:C,3,0),"")</f>
        <v>CABA SUR II</v>
      </c>
      <c r="J733" t="s">
        <v>15</v>
      </c>
      <c r="M733" t="s">
        <v>8</v>
      </c>
    </row>
    <row r="734" spans="1:13" x14ac:dyDescent="0.2">
      <c r="A734">
        <v>756</v>
      </c>
      <c r="B734" t="s">
        <v>2660</v>
      </c>
      <c r="C734">
        <v>1</v>
      </c>
      <c r="D734" t="s">
        <v>1882</v>
      </c>
      <c r="E734" t="s">
        <v>10</v>
      </c>
      <c r="F734" t="s">
        <v>1882</v>
      </c>
      <c r="G734" t="s">
        <v>396</v>
      </c>
      <c r="H734" t="str">
        <f>_xlfn.IFNA(+VLOOKUP(G734,Agrupacion!A:B,2,0),"")</f>
        <v>AGRUPADOR 3</v>
      </c>
      <c r="I734" t="str">
        <f>_xlfn.IFNA(+VLOOKUP(G734,Agrupacion!A:C,3,0),"")</f>
        <v>CABA SUR II</v>
      </c>
      <c r="J734" t="s">
        <v>15</v>
      </c>
      <c r="M734" t="s">
        <v>8</v>
      </c>
    </row>
    <row r="735" spans="1:13" x14ac:dyDescent="0.2">
      <c r="A735">
        <v>757</v>
      </c>
      <c r="B735" t="s">
        <v>2661</v>
      </c>
      <c r="C735">
        <v>1</v>
      </c>
      <c r="D735" t="s">
        <v>1883</v>
      </c>
      <c r="E735" t="s">
        <v>10</v>
      </c>
      <c r="F735" t="s">
        <v>1884</v>
      </c>
      <c r="G735" t="s">
        <v>48</v>
      </c>
      <c r="H735" t="str">
        <f>_xlfn.IFNA(+VLOOKUP(G735,Agrupacion!A:B,2,0),"")</f>
        <v>AGRUPADOR 2</v>
      </c>
      <c r="I735" t="str">
        <f>_xlfn.IFNA(+VLOOKUP(G735,Agrupacion!A:C,3,0),"")</f>
        <v>CABA SUR</v>
      </c>
      <c r="J735" t="s">
        <v>1476</v>
      </c>
      <c r="M735" t="s">
        <v>8</v>
      </c>
    </row>
    <row r="736" spans="1:13" x14ac:dyDescent="0.2">
      <c r="A736">
        <v>758</v>
      </c>
      <c r="B736" t="s">
        <v>2659</v>
      </c>
      <c r="C736">
        <v>1</v>
      </c>
      <c r="D736" t="s">
        <v>1885</v>
      </c>
      <c r="E736" t="s">
        <v>10</v>
      </c>
      <c r="F736" t="s">
        <v>1885</v>
      </c>
      <c r="G736" t="s">
        <v>396</v>
      </c>
      <c r="H736" t="str">
        <f>_xlfn.IFNA(+VLOOKUP(G736,Agrupacion!A:B,2,0),"")</f>
        <v>AGRUPADOR 3</v>
      </c>
      <c r="I736" t="str">
        <f>_xlfn.IFNA(+VLOOKUP(G736,Agrupacion!A:C,3,0),"")</f>
        <v>CABA SUR II</v>
      </c>
      <c r="J736" t="s">
        <v>15</v>
      </c>
      <c r="M736" t="s">
        <v>8</v>
      </c>
    </row>
    <row r="737" spans="1:13" x14ac:dyDescent="0.2">
      <c r="A737">
        <v>850</v>
      </c>
      <c r="B737" t="s">
        <v>2669</v>
      </c>
      <c r="C737">
        <v>1</v>
      </c>
      <c r="D737" t="s">
        <v>1912</v>
      </c>
      <c r="E737" t="s">
        <v>10</v>
      </c>
      <c r="F737" t="s">
        <v>1912</v>
      </c>
      <c r="G737" t="s">
        <v>170</v>
      </c>
      <c r="H737" t="str">
        <f>_xlfn.IFNA(+VLOOKUP(G737,Agrupacion!A:B,2,0),"")</f>
        <v>AGRUPADOR 2</v>
      </c>
      <c r="I737" t="str">
        <f>_xlfn.IFNA(+VLOOKUP(G737,Agrupacion!A:C,3,0),"")</f>
        <v>CABA SUR</v>
      </c>
      <c r="J737" t="s">
        <v>262</v>
      </c>
      <c r="M737" t="s">
        <v>8</v>
      </c>
    </row>
    <row r="738" spans="1:13" x14ac:dyDescent="0.2">
      <c r="A738">
        <v>901</v>
      </c>
      <c r="B738" t="s">
        <v>2668</v>
      </c>
      <c r="C738">
        <v>1</v>
      </c>
      <c r="D738" t="s">
        <v>1929</v>
      </c>
      <c r="E738" t="s">
        <v>10</v>
      </c>
      <c r="F738" t="s">
        <v>1930</v>
      </c>
      <c r="G738" t="s">
        <v>396</v>
      </c>
      <c r="H738" t="str">
        <f>_xlfn.IFNA(+VLOOKUP(G738,Agrupacion!A:B,2,0),"")</f>
        <v>AGRUPADOR 3</v>
      </c>
      <c r="I738" t="str">
        <f>_xlfn.IFNA(+VLOOKUP(G738,Agrupacion!A:C,3,0),"")</f>
        <v>CABA SUR II</v>
      </c>
      <c r="J738" t="s">
        <v>15</v>
      </c>
      <c r="M738" t="s">
        <v>8</v>
      </c>
    </row>
    <row r="739" spans="1:13" x14ac:dyDescent="0.2">
      <c r="A739">
        <v>999</v>
      </c>
      <c r="B739" t="s">
        <v>2688</v>
      </c>
      <c r="C739" s="2">
        <v>1</v>
      </c>
      <c r="D739" t="s">
        <v>2684</v>
      </c>
      <c r="E739" t="s">
        <v>10</v>
      </c>
      <c r="F739" t="s">
        <v>2685</v>
      </c>
      <c r="G739" t="s">
        <v>2686</v>
      </c>
      <c r="H739" t="str">
        <f>_xlfn.IFNA(+VLOOKUP(G739,Agrupacion!A:B,2,0),"")</f>
        <v>RETIRA</v>
      </c>
      <c r="I739" t="s">
        <v>2686</v>
      </c>
      <c r="M739" t="s">
        <v>8</v>
      </c>
    </row>
    <row r="740" spans="1:13" x14ac:dyDescent="0.2">
      <c r="A740">
        <v>1015</v>
      </c>
      <c r="B740" t="s">
        <v>2634</v>
      </c>
      <c r="C740">
        <v>1</v>
      </c>
      <c r="D740" t="s">
        <v>24</v>
      </c>
      <c r="E740" t="s">
        <v>10</v>
      </c>
      <c r="F740" t="s">
        <v>24</v>
      </c>
      <c r="G740" t="s">
        <v>396</v>
      </c>
      <c r="H740" t="str">
        <f>_xlfn.IFNA(+VLOOKUP(G740,Agrupacion!A:B,2,0),"")</f>
        <v>AGRUPADOR 3</v>
      </c>
      <c r="I740" t="str">
        <f>_xlfn.IFNA(+VLOOKUP(G740,Agrupacion!A:C,3,0),"")</f>
        <v>CABA SUR II</v>
      </c>
      <c r="J740" t="s">
        <v>15</v>
      </c>
      <c r="M740" t="s">
        <v>8</v>
      </c>
    </row>
    <row r="741" spans="1:13" x14ac:dyDescent="0.2">
      <c r="A741">
        <v>1017</v>
      </c>
      <c r="B741" t="s">
        <v>2545</v>
      </c>
      <c r="C741">
        <v>1</v>
      </c>
      <c r="D741" t="s">
        <v>25</v>
      </c>
      <c r="E741" t="s">
        <v>10</v>
      </c>
      <c r="F741" t="s">
        <v>25</v>
      </c>
      <c r="G741" t="s">
        <v>396</v>
      </c>
      <c r="H741" t="str">
        <f>_xlfn.IFNA(+VLOOKUP(G741,Agrupacion!A:B,2,0),"")</f>
        <v>AGRUPADOR 3</v>
      </c>
      <c r="I741" t="str">
        <f>_xlfn.IFNA(+VLOOKUP(G741,Agrupacion!A:C,3,0),"")</f>
        <v>CABA SUR II</v>
      </c>
      <c r="J741" t="s">
        <v>15</v>
      </c>
      <c r="K741" t="s">
        <v>26</v>
      </c>
      <c r="M741" t="s">
        <v>8</v>
      </c>
    </row>
    <row r="742" spans="1:13" x14ac:dyDescent="0.2">
      <c r="A742">
        <v>277</v>
      </c>
      <c r="B742" t="s">
        <v>2733</v>
      </c>
      <c r="G742" t="s">
        <v>249</v>
      </c>
      <c r="H742" t="str">
        <f>_xlfn.IFNA(+VLOOKUP(G742,Agrupacion!A:B,2,0),"")</f>
        <v>AGRUPADOR 2</v>
      </c>
      <c r="I742" t="str">
        <f>_xlfn.IFNA(+VLOOKUP(G742,Agrupacion!A:C,3,0),"")</f>
        <v>CABA SUR</v>
      </c>
      <c r="J742" t="s">
        <v>15</v>
      </c>
    </row>
    <row r="743" spans="1:13" x14ac:dyDescent="0.2">
      <c r="A743">
        <v>289</v>
      </c>
      <c r="B743" t="s">
        <v>1846</v>
      </c>
      <c r="D743" t="s">
        <v>2734</v>
      </c>
      <c r="F743" t="s">
        <v>2735</v>
      </c>
      <c r="G743" t="s">
        <v>170</v>
      </c>
      <c r="H743" t="str">
        <f>_xlfn.IFNA(+VLOOKUP(G743,Agrupacion!A:B,2,0),"")</f>
        <v>AGRUPADOR 2</v>
      </c>
      <c r="I743" t="str">
        <f>_xlfn.IFNA(+VLOOKUP(G743,Agrupacion!A:C,3,0),"")</f>
        <v>CABA SUR</v>
      </c>
      <c r="J743" t="s">
        <v>15</v>
      </c>
    </row>
    <row r="744" spans="1:13" x14ac:dyDescent="0.2">
      <c r="A744">
        <v>292</v>
      </c>
      <c r="B744" t="s">
        <v>2736</v>
      </c>
      <c r="D744" t="s">
        <v>2737</v>
      </c>
      <c r="F744" t="s">
        <v>2738</v>
      </c>
      <c r="G744" t="s">
        <v>170</v>
      </c>
      <c r="H744" t="str">
        <f>_xlfn.IFNA(+VLOOKUP(G744,Agrupacion!A:B,2,0),"")</f>
        <v>AGRUPADOR 2</v>
      </c>
      <c r="I744" t="str">
        <f>_xlfn.IFNA(+VLOOKUP(G744,Agrupacion!A:C,3,0),"")</f>
        <v>CABA SUR</v>
      </c>
      <c r="J744" t="s">
        <v>15</v>
      </c>
    </row>
    <row r="745" spans="1:13" x14ac:dyDescent="0.2">
      <c r="A745">
        <v>393</v>
      </c>
      <c r="B745" t="s">
        <v>2180</v>
      </c>
      <c r="C745">
        <v>1</v>
      </c>
      <c r="D745" t="s">
        <v>897</v>
      </c>
      <c r="F745" t="s">
        <v>898</v>
      </c>
      <c r="G745" t="s">
        <v>48</v>
      </c>
      <c r="H745" t="str">
        <f>_xlfn.IFNA(+VLOOKUP(G745,Agrupacion!A:B,2,0),"")</f>
        <v>AGRUPADOR 2</v>
      </c>
      <c r="I745" t="str">
        <f>_xlfn.IFNA(+VLOOKUP(G745,Agrupacion!A:C,3,0),"")</f>
        <v>CABA SUR</v>
      </c>
      <c r="K745" t="s">
        <v>899</v>
      </c>
      <c r="M745" t="s">
        <v>8</v>
      </c>
    </row>
    <row r="746" spans="1:13" x14ac:dyDescent="0.2">
      <c r="A746">
        <v>398</v>
      </c>
      <c r="B746" t="s">
        <v>2739</v>
      </c>
      <c r="D746" t="s">
        <v>2739</v>
      </c>
      <c r="G746" t="s">
        <v>170</v>
      </c>
      <c r="H746" t="str">
        <f>_xlfn.IFNA(+VLOOKUP(G746,Agrupacion!A:B,2,0),"")</f>
        <v>AGRUPADOR 2</v>
      </c>
      <c r="I746" t="str">
        <f>_xlfn.IFNA(+VLOOKUP(G746,Agrupacion!A:C,3,0),"")</f>
        <v>CABA SUR</v>
      </c>
      <c r="J746" t="s">
        <v>15</v>
      </c>
    </row>
    <row r="747" spans="1:13" x14ac:dyDescent="0.2">
      <c r="A747">
        <v>415</v>
      </c>
      <c r="B747" t="s">
        <v>2740</v>
      </c>
      <c r="D747" t="s">
        <v>2740</v>
      </c>
      <c r="G747" t="s">
        <v>2699</v>
      </c>
      <c r="H747" t="str">
        <f>_xlfn.IFNA(+VLOOKUP(G747,Agrupacion!A:B,2,0),"")</f>
        <v>AGRUPADOR 2</v>
      </c>
      <c r="I747" t="str">
        <f>_xlfn.IFNA(+VLOOKUP(G747,Agrupacion!A:C,3,0),"")</f>
        <v>CABA SUR</v>
      </c>
      <c r="J747" t="s">
        <v>15</v>
      </c>
    </row>
    <row r="748" spans="1:13" x14ac:dyDescent="0.2">
      <c r="A748">
        <v>425</v>
      </c>
      <c r="B748" t="s">
        <v>2210</v>
      </c>
      <c r="C748">
        <v>1</v>
      </c>
      <c r="D748" t="s">
        <v>999</v>
      </c>
      <c r="E748" t="s">
        <v>10</v>
      </c>
      <c r="F748" t="s">
        <v>1000</v>
      </c>
      <c r="G748" t="s">
        <v>170</v>
      </c>
      <c r="H748" t="str">
        <f>_xlfn.IFNA(+VLOOKUP(G748,Agrupacion!A:B,2,0),"")</f>
        <v>AGRUPADOR 2</v>
      </c>
      <c r="I748" t="str">
        <f>_xlfn.IFNA(+VLOOKUP(G748,Agrupacion!A:C,3,0),"")</f>
        <v>CABA SUR</v>
      </c>
      <c r="K748" t="s">
        <v>1001</v>
      </c>
      <c r="L748" t="s">
        <v>1002</v>
      </c>
      <c r="M748" t="s">
        <v>8</v>
      </c>
    </row>
    <row r="749" spans="1:13" x14ac:dyDescent="0.2">
      <c r="A749">
        <v>426</v>
      </c>
      <c r="B749" t="s">
        <v>2741</v>
      </c>
      <c r="D749" t="s">
        <v>2741</v>
      </c>
      <c r="G749" t="s">
        <v>170</v>
      </c>
      <c r="H749" t="str">
        <f>_xlfn.IFNA(+VLOOKUP(G749,Agrupacion!A:B,2,0),"")</f>
        <v>AGRUPADOR 2</v>
      </c>
      <c r="I749" t="str">
        <f>_xlfn.IFNA(+VLOOKUP(G749,Agrupacion!A:C,3,0),"")</f>
        <v>CABA SUR</v>
      </c>
      <c r="J749" t="s">
        <v>15</v>
      </c>
    </row>
    <row r="750" spans="1:13" x14ac:dyDescent="0.2">
      <c r="A750">
        <v>549</v>
      </c>
      <c r="B750" t="s">
        <v>2742</v>
      </c>
      <c r="D750" t="s">
        <v>2743</v>
      </c>
      <c r="F750" t="s">
        <v>2744</v>
      </c>
      <c r="G750" t="s">
        <v>48</v>
      </c>
      <c r="H750" t="str">
        <f>_xlfn.IFNA(+VLOOKUP(G750,Agrupacion!A:B,2,0),"")</f>
        <v>AGRUPADOR 2</v>
      </c>
      <c r="I750" t="str">
        <f>_xlfn.IFNA(+VLOOKUP(G750,Agrupacion!A:C,3,0),"")</f>
        <v>CABA SUR</v>
      </c>
      <c r="J750" t="s">
        <v>15</v>
      </c>
    </row>
    <row r="751" spans="1:13" x14ac:dyDescent="0.2">
      <c r="A751">
        <v>759</v>
      </c>
      <c r="B751" t="s">
        <v>2722</v>
      </c>
      <c r="D751" t="s">
        <v>2745</v>
      </c>
      <c r="F751" t="s">
        <v>2745</v>
      </c>
      <c r="G751" t="s">
        <v>809</v>
      </c>
      <c r="H751" t="str">
        <f>_xlfn.IFNA(+VLOOKUP(G751,Agrupacion!A:B,2,0),"")</f>
        <v>AGRUPADOR 7</v>
      </c>
      <c r="I751" t="str">
        <f>_xlfn.IFNA(+VLOOKUP(G751,Agrupacion!A:C,3,0),"")</f>
        <v>GBA OESTE II</v>
      </c>
      <c r="J751" t="s">
        <v>15</v>
      </c>
    </row>
    <row r="752" spans="1:13" x14ac:dyDescent="0.2">
      <c r="A752">
        <v>760</v>
      </c>
      <c r="B752" t="s">
        <v>2711</v>
      </c>
      <c r="D752" t="s">
        <v>2746</v>
      </c>
      <c r="F752" t="s">
        <v>2746</v>
      </c>
      <c r="G752" t="s">
        <v>48</v>
      </c>
      <c r="H752" t="str">
        <f>_xlfn.IFNA(+VLOOKUP(G752,Agrupacion!A:B,2,0),"")</f>
        <v>AGRUPADOR 2</v>
      </c>
      <c r="I752" t="str">
        <f>_xlfn.IFNA(+VLOOKUP(G752,Agrupacion!A:C,3,0),"")</f>
        <v>CABA SUR</v>
      </c>
      <c r="J752" t="s">
        <v>15</v>
      </c>
    </row>
    <row r="753" spans="1:10" x14ac:dyDescent="0.2">
      <c r="A753">
        <v>761</v>
      </c>
      <c r="B753" t="s">
        <v>2718</v>
      </c>
      <c r="D753" t="s">
        <v>2747</v>
      </c>
      <c r="F753" t="s">
        <v>2747</v>
      </c>
      <c r="G753" t="s">
        <v>48</v>
      </c>
      <c r="H753" t="str">
        <f>_xlfn.IFNA(+VLOOKUP(G753,Agrupacion!A:B,2,0),"")</f>
        <v>AGRUPADOR 2</v>
      </c>
      <c r="I753" t="str">
        <f>_xlfn.IFNA(+VLOOKUP(G753,Agrupacion!A:C,3,0),"")</f>
        <v>CABA SUR</v>
      </c>
      <c r="J753" t="s">
        <v>15</v>
      </c>
    </row>
    <row r="754" spans="1:10" x14ac:dyDescent="0.2">
      <c r="A754">
        <v>762</v>
      </c>
      <c r="B754" t="s">
        <v>2748</v>
      </c>
      <c r="D754" t="s">
        <v>515</v>
      </c>
      <c r="F754" t="s">
        <v>515</v>
      </c>
      <c r="G754" t="s">
        <v>357</v>
      </c>
      <c r="H754" t="str">
        <f>_xlfn.IFNA(+VLOOKUP(G754,Agrupacion!A:B,2,0),"")</f>
        <v>AGRUPADOR 3</v>
      </c>
      <c r="I754" t="str">
        <f>_xlfn.IFNA(+VLOOKUP(G754,Agrupacion!A:C,3,0),"")</f>
        <v>CABA SUR II</v>
      </c>
      <c r="J754" t="s">
        <v>15</v>
      </c>
    </row>
    <row r="755" spans="1:10" x14ac:dyDescent="0.2">
      <c r="A755">
        <v>763</v>
      </c>
      <c r="B755" t="s">
        <v>2749</v>
      </c>
      <c r="D755" t="s">
        <v>2750</v>
      </c>
      <c r="F755" t="s">
        <v>1114</v>
      </c>
      <c r="G755" t="s">
        <v>396</v>
      </c>
      <c r="H755" t="str">
        <f>_xlfn.IFNA(+VLOOKUP(G755,Agrupacion!A:B,2,0),"")</f>
        <v>AGRUPADOR 3</v>
      </c>
      <c r="I755" t="str">
        <f>_xlfn.IFNA(+VLOOKUP(G755,Agrupacion!A:C,3,0),"")</f>
        <v>CABA SUR II</v>
      </c>
      <c r="J755" t="s">
        <v>15</v>
      </c>
    </row>
    <row r="756" spans="1:10" x14ac:dyDescent="0.2">
      <c r="A756">
        <v>764</v>
      </c>
      <c r="B756" t="s">
        <v>2751</v>
      </c>
      <c r="D756" t="s">
        <v>2752</v>
      </c>
      <c r="F756" t="s">
        <v>2752</v>
      </c>
      <c r="G756" t="s">
        <v>2698</v>
      </c>
      <c r="H756" t="str">
        <f>_xlfn.IFNA(+VLOOKUP(G756,Agrupacion!A:B,2,0),"")</f>
        <v>AGRUPADOR 1</v>
      </c>
      <c r="I756" t="str">
        <f>_xlfn.IFNA(+VLOOKUP(G756,Agrupacion!A:C,3,0),"")</f>
        <v>CABA NORTE</v>
      </c>
      <c r="J756" t="s">
        <v>15</v>
      </c>
    </row>
    <row r="757" spans="1:10" x14ac:dyDescent="0.2">
      <c r="A757">
        <v>765</v>
      </c>
      <c r="B757" t="s">
        <v>2753</v>
      </c>
      <c r="D757" t="s">
        <v>1709</v>
      </c>
      <c r="F757" t="s">
        <v>1709</v>
      </c>
      <c r="G757" t="s">
        <v>48</v>
      </c>
      <c r="H757" t="str">
        <f>_xlfn.IFNA(+VLOOKUP(G757,Agrupacion!A:B,2,0),"")</f>
        <v>AGRUPADOR 2</v>
      </c>
      <c r="I757" t="str">
        <f>_xlfn.IFNA(+VLOOKUP(G757,Agrupacion!A:C,3,0),"")</f>
        <v>CABA SUR</v>
      </c>
      <c r="J757" t="s">
        <v>15</v>
      </c>
    </row>
    <row r="758" spans="1:10" x14ac:dyDescent="0.2">
      <c r="A758">
        <v>766</v>
      </c>
      <c r="B758" t="s">
        <v>2754</v>
      </c>
      <c r="D758" t="s">
        <v>2755</v>
      </c>
      <c r="F758" t="s">
        <v>2756</v>
      </c>
      <c r="G758" t="s">
        <v>564</v>
      </c>
      <c r="H758" t="str">
        <f>_xlfn.IFNA(+VLOOKUP(G758,Agrupacion!A:B,2,0),"")</f>
        <v>AGRUPADOR 1</v>
      </c>
      <c r="I758" t="str">
        <f>_xlfn.IFNA(+VLOOKUP(G758,Agrupacion!A:C,3,0),"")</f>
        <v>CABA NORTE</v>
      </c>
      <c r="J758" t="s">
        <v>15</v>
      </c>
    </row>
    <row r="759" spans="1:10" x14ac:dyDescent="0.2">
      <c r="A759">
        <v>767</v>
      </c>
      <c r="B759" t="s">
        <v>2757</v>
      </c>
      <c r="D759" t="s">
        <v>2758</v>
      </c>
      <c r="F759" t="s">
        <v>2758</v>
      </c>
      <c r="G759" t="s">
        <v>2697</v>
      </c>
      <c r="H759" t="str">
        <f>_xlfn.IFNA(+VLOOKUP(G759,Agrupacion!A:B,2,0),"")</f>
        <v>AGRUPADOR 3</v>
      </c>
      <c r="I759" t="str">
        <f>_xlfn.IFNA(+VLOOKUP(G759,Agrupacion!A:C,3,0),"")</f>
        <v>CABA SUR II</v>
      </c>
      <c r="J759" t="s">
        <v>15</v>
      </c>
    </row>
    <row r="760" spans="1:10" x14ac:dyDescent="0.2">
      <c r="A760">
        <v>768</v>
      </c>
      <c r="B760" t="s">
        <v>2759</v>
      </c>
      <c r="D760" t="s">
        <v>2760</v>
      </c>
      <c r="F760" t="s">
        <v>2761</v>
      </c>
      <c r="G760" t="s">
        <v>48</v>
      </c>
      <c r="H760" t="str">
        <f>_xlfn.IFNA(+VLOOKUP(G760,Agrupacion!A:B,2,0),"")</f>
        <v>AGRUPADOR 2</v>
      </c>
      <c r="I760" t="str">
        <f>_xlfn.IFNA(+VLOOKUP(G760,Agrupacion!A:C,3,0),"")</f>
        <v>CABA SUR</v>
      </c>
      <c r="J760" t="s">
        <v>15</v>
      </c>
    </row>
    <row r="761" spans="1:10" x14ac:dyDescent="0.2">
      <c r="A761">
        <v>769</v>
      </c>
      <c r="B761" t="s">
        <v>2721</v>
      </c>
      <c r="D761" t="s">
        <v>2762</v>
      </c>
      <c r="F761" t="s">
        <v>2762</v>
      </c>
      <c r="G761" t="s">
        <v>2699</v>
      </c>
      <c r="H761" t="str">
        <f>_xlfn.IFNA(+VLOOKUP(G761,Agrupacion!A:B,2,0),"")</f>
        <v>AGRUPADOR 2</v>
      </c>
      <c r="I761" t="str">
        <f>_xlfn.IFNA(+VLOOKUP(G761,Agrupacion!A:C,3,0),"")</f>
        <v>CABA SUR</v>
      </c>
      <c r="J761" t="s">
        <v>15</v>
      </c>
    </row>
    <row r="762" spans="1:10" x14ac:dyDescent="0.2">
      <c r="A762">
        <v>770</v>
      </c>
      <c r="B762" t="s">
        <v>2725</v>
      </c>
      <c r="D762" t="s">
        <v>269</v>
      </c>
      <c r="F762" t="s">
        <v>269</v>
      </c>
      <c r="G762" t="s">
        <v>249</v>
      </c>
      <c r="H762" t="str">
        <f>_xlfn.IFNA(+VLOOKUP(G762,Agrupacion!A:B,2,0),"")</f>
        <v>AGRUPADOR 2</v>
      </c>
      <c r="I762" t="str">
        <f>_xlfn.IFNA(+VLOOKUP(G762,Agrupacion!A:C,3,0),"")</f>
        <v>CABA SUR</v>
      </c>
      <c r="J762" t="s">
        <v>15</v>
      </c>
    </row>
    <row r="763" spans="1:10" x14ac:dyDescent="0.2">
      <c r="A763">
        <v>771</v>
      </c>
      <c r="B763" t="s">
        <v>2724</v>
      </c>
      <c r="D763" t="s">
        <v>1079</v>
      </c>
      <c r="F763" t="s">
        <v>1079</v>
      </c>
      <c r="G763" t="s">
        <v>396</v>
      </c>
      <c r="H763" t="str">
        <f>_xlfn.IFNA(+VLOOKUP(G763,Agrupacion!A:B,2,0),"")</f>
        <v>AGRUPADOR 3</v>
      </c>
      <c r="I763" t="str">
        <f>_xlfn.IFNA(+VLOOKUP(G763,Agrupacion!A:C,3,0),"")</f>
        <v>CABA SUR II</v>
      </c>
      <c r="J763" t="s">
        <v>15</v>
      </c>
    </row>
    <row r="764" spans="1:10" x14ac:dyDescent="0.2">
      <c r="A764">
        <v>772</v>
      </c>
      <c r="B764" t="s">
        <v>2763</v>
      </c>
      <c r="D764" t="s">
        <v>2764</v>
      </c>
      <c r="F764" t="s">
        <v>2765</v>
      </c>
      <c r="G764" t="s">
        <v>48</v>
      </c>
      <c r="H764" t="str">
        <f>_xlfn.IFNA(+VLOOKUP(G764,Agrupacion!A:B,2,0),"")</f>
        <v>AGRUPADOR 2</v>
      </c>
      <c r="I764" t="str">
        <f>_xlfn.IFNA(+VLOOKUP(G764,Agrupacion!A:C,3,0),"")</f>
        <v>CABA SUR</v>
      </c>
      <c r="J764" t="s">
        <v>15</v>
      </c>
    </row>
    <row r="765" spans="1:10" x14ac:dyDescent="0.2">
      <c r="A765">
        <v>773</v>
      </c>
      <c r="B765" t="s">
        <v>2723</v>
      </c>
      <c r="D765" t="s">
        <v>2766</v>
      </c>
      <c r="F765" t="s">
        <v>2766</v>
      </c>
      <c r="G765" t="s">
        <v>48</v>
      </c>
      <c r="H765" t="str">
        <f>_xlfn.IFNA(+VLOOKUP(G765,Agrupacion!A:B,2,0),"")</f>
        <v>AGRUPADOR 2</v>
      </c>
      <c r="I765" t="str">
        <f>_xlfn.IFNA(+VLOOKUP(G765,Agrupacion!A:C,3,0),"")</f>
        <v>CABA SUR</v>
      </c>
      <c r="J765" t="s">
        <v>15</v>
      </c>
    </row>
    <row r="766" spans="1:10" x14ac:dyDescent="0.2">
      <c r="A766">
        <v>774</v>
      </c>
      <c r="B766" t="s">
        <v>2767</v>
      </c>
      <c r="D766" t="s">
        <v>2768</v>
      </c>
      <c r="F766" t="s">
        <v>2768</v>
      </c>
      <c r="G766" t="s">
        <v>396</v>
      </c>
      <c r="H766" t="str">
        <f>_xlfn.IFNA(+VLOOKUP(G766,Agrupacion!A:B,2,0),"")</f>
        <v>AGRUPADOR 3</v>
      </c>
      <c r="I766" t="str">
        <f>_xlfn.IFNA(+VLOOKUP(G766,Agrupacion!A:C,3,0),"")</f>
        <v>CABA SUR II</v>
      </c>
      <c r="J766" t="s">
        <v>15</v>
      </c>
    </row>
    <row r="767" spans="1:10" x14ac:dyDescent="0.2">
      <c r="A767">
        <v>775</v>
      </c>
      <c r="B767" t="s">
        <v>2769</v>
      </c>
      <c r="D767" t="s">
        <v>2770</v>
      </c>
      <c r="F767" t="s">
        <v>2770</v>
      </c>
      <c r="G767" t="s">
        <v>48</v>
      </c>
      <c r="H767" t="str">
        <f>_xlfn.IFNA(+VLOOKUP(G767,Agrupacion!A:B,2,0),"")</f>
        <v>AGRUPADOR 2</v>
      </c>
      <c r="I767" t="str">
        <f>_xlfn.IFNA(+VLOOKUP(G767,Agrupacion!A:C,3,0),"")</f>
        <v>CABA SUR</v>
      </c>
      <c r="J767" t="s">
        <v>15</v>
      </c>
    </row>
    <row r="768" spans="1:10" x14ac:dyDescent="0.2">
      <c r="A768">
        <v>776</v>
      </c>
      <c r="B768" t="s">
        <v>2771</v>
      </c>
      <c r="D768" t="s">
        <v>2772</v>
      </c>
      <c r="F768" t="s">
        <v>2772</v>
      </c>
      <c r="G768" t="s">
        <v>564</v>
      </c>
      <c r="H768" t="str">
        <f>_xlfn.IFNA(+VLOOKUP(G768,Agrupacion!A:B,2,0),"")</f>
        <v>AGRUPADOR 1</v>
      </c>
      <c r="I768" t="str">
        <f>_xlfn.IFNA(+VLOOKUP(G768,Agrupacion!A:C,3,0),"")</f>
        <v>CABA NORTE</v>
      </c>
      <c r="J768" t="s">
        <v>15</v>
      </c>
    </row>
    <row r="769" spans="1:10" x14ac:dyDescent="0.2">
      <c r="A769">
        <v>777</v>
      </c>
      <c r="B769" t="s">
        <v>2773</v>
      </c>
      <c r="D769" t="s">
        <v>2774</v>
      </c>
      <c r="F769" t="s">
        <v>2774</v>
      </c>
      <c r="G769" t="s">
        <v>396</v>
      </c>
      <c r="H769" t="str">
        <f>_xlfn.IFNA(+VLOOKUP(G769,Agrupacion!A:B,2,0),"")</f>
        <v>AGRUPADOR 3</v>
      </c>
      <c r="I769" t="str">
        <f>_xlfn.IFNA(+VLOOKUP(G769,Agrupacion!A:C,3,0),"")</f>
        <v>CABA SUR II</v>
      </c>
      <c r="J769" t="s">
        <v>15</v>
      </c>
    </row>
    <row r="770" spans="1:10" x14ac:dyDescent="0.2">
      <c r="A770">
        <v>778</v>
      </c>
      <c r="B770" t="s">
        <v>2775</v>
      </c>
      <c r="D770" t="s">
        <v>2776</v>
      </c>
      <c r="F770" t="s">
        <v>2777</v>
      </c>
      <c r="G770" t="s">
        <v>48</v>
      </c>
      <c r="H770" t="str">
        <f>_xlfn.IFNA(+VLOOKUP(G770,Agrupacion!A:B,2,0),"")</f>
        <v>AGRUPADOR 2</v>
      </c>
      <c r="I770" t="str">
        <f>_xlfn.IFNA(+VLOOKUP(G770,Agrupacion!A:C,3,0),"")</f>
        <v>CABA SUR</v>
      </c>
      <c r="J770" t="s">
        <v>15</v>
      </c>
    </row>
    <row r="771" spans="1:10" x14ac:dyDescent="0.2">
      <c r="A771">
        <v>779</v>
      </c>
      <c r="B771" t="s">
        <v>2778</v>
      </c>
      <c r="D771" t="s">
        <v>2779</v>
      </c>
      <c r="F771" t="s">
        <v>2779</v>
      </c>
      <c r="G771" t="s">
        <v>48</v>
      </c>
      <c r="H771" t="str">
        <f>_xlfn.IFNA(+VLOOKUP(G771,Agrupacion!A:B,2,0),"")</f>
        <v>AGRUPADOR 2</v>
      </c>
      <c r="I771" t="str">
        <f>_xlfn.IFNA(+VLOOKUP(G771,Agrupacion!A:C,3,0),"")</f>
        <v>CABA SUR</v>
      </c>
      <c r="J771" t="s">
        <v>15</v>
      </c>
    </row>
    <row r="772" spans="1:10" x14ac:dyDescent="0.2">
      <c r="A772">
        <v>780</v>
      </c>
      <c r="B772" t="s">
        <v>2726</v>
      </c>
      <c r="D772" t="s">
        <v>2780</v>
      </c>
      <c r="F772" t="s">
        <v>2781</v>
      </c>
      <c r="G772" t="s">
        <v>201</v>
      </c>
      <c r="H772" t="str">
        <f>_xlfn.IFNA(+VLOOKUP(G772,Agrupacion!A:B,2,0),"")</f>
        <v>AGRUPADOR 2</v>
      </c>
      <c r="I772" t="str">
        <f>_xlfn.IFNA(+VLOOKUP(G772,Agrupacion!A:C,3,0),"")</f>
        <v>CABA SUR</v>
      </c>
      <c r="J772" t="s">
        <v>15</v>
      </c>
    </row>
  </sheetData>
  <autoFilter ref="A1:M772" xr:uid="{134E132D-4FD6-4437-8BB5-7AA008BB3ACD}"/>
  <sortState xmlns:xlrd2="http://schemas.microsoft.com/office/spreadsheetml/2017/richdata2" ref="A2:M736">
    <sortCondition ref="B2:B7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8A94-395E-4A81-B10D-C5E2A1DD841B}">
  <dimension ref="A1:C64"/>
  <sheetViews>
    <sheetView workbookViewId="0">
      <selection activeCell="A16" sqref="A16"/>
    </sheetView>
  </sheetViews>
  <sheetFormatPr baseColWidth="10" defaultRowHeight="11.25" x14ac:dyDescent="0.2"/>
  <cols>
    <col min="1" max="1" width="20.83203125" bestFit="1" customWidth="1"/>
    <col min="2" max="2" width="15" customWidth="1"/>
    <col min="3" max="3" width="14.5" bestFit="1" customWidth="1"/>
  </cols>
  <sheetData>
    <row r="1" spans="1:3" x14ac:dyDescent="0.2">
      <c r="A1" s="1" t="s">
        <v>2680</v>
      </c>
      <c r="B1" s="1" t="s">
        <v>2683</v>
      </c>
      <c r="C1" t="s">
        <v>2702</v>
      </c>
    </row>
    <row r="2" spans="1:3" x14ac:dyDescent="0.2">
      <c r="A2" s="1" t="s">
        <v>842</v>
      </c>
      <c r="B2" s="1" t="s">
        <v>2693</v>
      </c>
      <c r="C2" t="s">
        <v>2703</v>
      </c>
    </row>
    <row r="3" spans="1:3" x14ac:dyDescent="0.2">
      <c r="A3" s="1" t="s">
        <v>2698</v>
      </c>
      <c r="B3" s="1" t="s">
        <v>2693</v>
      </c>
      <c r="C3" t="s">
        <v>2703</v>
      </c>
    </row>
    <row r="4" spans="1:3" x14ac:dyDescent="0.2">
      <c r="A4" s="1" t="s">
        <v>564</v>
      </c>
      <c r="B4" s="1" t="s">
        <v>2693</v>
      </c>
      <c r="C4" t="s">
        <v>2703</v>
      </c>
    </row>
    <row r="5" spans="1:3" x14ac:dyDescent="0.2">
      <c r="A5" s="1" t="s">
        <v>466</v>
      </c>
      <c r="B5" s="1" t="s">
        <v>2693</v>
      </c>
      <c r="C5" t="s">
        <v>2703</v>
      </c>
    </row>
    <row r="6" spans="1:3" x14ac:dyDescent="0.2">
      <c r="A6" s="1" t="s">
        <v>2677</v>
      </c>
      <c r="B6" s="1" t="s">
        <v>2693</v>
      </c>
      <c r="C6" t="s">
        <v>2703</v>
      </c>
    </row>
    <row r="7" spans="1:3" x14ac:dyDescent="0.2">
      <c r="A7" s="1" t="s">
        <v>108</v>
      </c>
      <c r="B7" s="1" t="s">
        <v>2693</v>
      </c>
      <c r="C7" t="s">
        <v>2703</v>
      </c>
    </row>
    <row r="8" spans="1:3" x14ac:dyDescent="0.2">
      <c r="A8" s="1" t="s">
        <v>549</v>
      </c>
      <c r="B8" s="1" t="s">
        <v>2693</v>
      </c>
      <c r="C8" t="s">
        <v>2703</v>
      </c>
    </row>
    <row r="9" spans="1:3" x14ac:dyDescent="0.2">
      <c r="A9" s="1" t="s">
        <v>366</v>
      </c>
      <c r="B9" s="1" t="s">
        <v>2693</v>
      </c>
      <c r="C9" t="s">
        <v>2703</v>
      </c>
    </row>
    <row r="10" spans="1:3" x14ac:dyDescent="0.2">
      <c r="A10" s="1" t="s">
        <v>2782</v>
      </c>
      <c r="B10" s="1" t="s">
        <v>2693</v>
      </c>
      <c r="C10" t="s">
        <v>2703</v>
      </c>
    </row>
    <row r="11" spans="1:3" x14ac:dyDescent="0.2">
      <c r="A11" s="1" t="s">
        <v>2720</v>
      </c>
      <c r="B11" s="1" t="s">
        <v>2696</v>
      </c>
      <c r="C11" t="s">
        <v>2704</v>
      </c>
    </row>
    <row r="12" spans="1:3" x14ac:dyDescent="0.2">
      <c r="A12" s="1" t="s">
        <v>170</v>
      </c>
      <c r="B12" s="1" t="s">
        <v>2696</v>
      </c>
      <c r="C12" t="s">
        <v>2704</v>
      </c>
    </row>
    <row r="13" spans="1:3" x14ac:dyDescent="0.2">
      <c r="A13" s="1" t="s">
        <v>2699</v>
      </c>
      <c r="B13" s="1" t="s">
        <v>2696</v>
      </c>
      <c r="C13" t="s">
        <v>2704</v>
      </c>
    </row>
    <row r="14" spans="1:3" x14ac:dyDescent="0.2">
      <c r="A14" s="1" t="s">
        <v>201</v>
      </c>
      <c r="B14" s="1" t="s">
        <v>2696</v>
      </c>
      <c r="C14" t="s">
        <v>2704</v>
      </c>
    </row>
    <row r="15" spans="1:3" x14ac:dyDescent="0.2">
      <c r="A15" s="1" t="s">
        <v>249</v>
      </c>
      <c r="B15" s="1" t="s">
        <v>2696</v>
      </c>
      <c r="C15" t="s">
        <v>2704</v>
      </c>
    </row>
    <row r="16" spans="1:3" x14ac:dyDescent="0.2">
      <c r="A16" s="1" t="s">
        <v>48</v>
      </c>
      <c r="B16" s="1" t="s">
        <v>2696</v>
      </c>
      <c r="C16" t="s">
        <v>2704</v>
      </c>
    </row>
    <row r="17" spans="1:3" x14ac:dyDescent="0.2">
      <c r="A17" s="1" t="s">
        <v>2697</v>
      </c>
      <c r="B17" s="1" t="s">
        <v>2715</v>
      </c>
      <c r="C17" t="s">
        <v>2713</v>
      </c>
    </row>
    <row r="18" spans="1:3" x14ac:dyDescent="0.2">
      <c r="A18" s="1" t="s">
        <v>1192</v>
      </c>
      <c r="B18" s="1" t="s">
        <v>2715</v>
      </c>
      <c r="C18" t="s">
        <v>2713</v>
      </c>
    </row>
    <row r="19" spans="1:3" x14ac:dyDescent="0.2">
      <c r="A19" s="1" t="s">
        <v>2678</v>
      </c>
      <c r="B19" s="1" t="s">
        <v>2715</v>
      </c>
      <c r="C19" t="s">
        <v>2713</v>
      </c>
    </row>
    <row r="20" spans="1:3" x14ac:dyDescent="0.2">
      <c r="A20" s="1" t="s">
        <v>224</v>
      </c>
      <c r="B20" s="1" t="s">
        <v>2715</v>
      </c>
      <c r="C20" t="s">
        <v>2713</v>
      </c>
    </row>
    <row r="21" spans="1:3" x14ac:dyDescent="0.2">
      <c r="A21" s="1" t="s">
        <v>357</v>
      </c>
      <c r="B21" s="1" t="s">
        <v>2715</v>
      </c>
      <c r="C21" t="s">
        <v>2713</v>
      </c>
    </row>
    <row r="22" spans="1:3" x14ac:dyDescent="0.2">
      <c r="A22" s="1" t="s">
        <v>2717</v>
      </c>
      <c r="B22" s="1" t="s">
        <v>2715</v>
      </c>
      <c r="C22" t="s">
        <v>2713</v>
      </c>
    </row>
    <row r="23" spans="1:3" x14ac:dyDescent="0.2">
      <c r="A23" s="1" t="s">
        <v>2716</v>
      </c>
      <c r="B23" s="1" t="s">
        <v>2715</v>
      </c>
      <c r="C23" t="s">
        <v>2713</v>
      </c>
    </row>
    <row r="24" spans="1:3" x14ac:dyDescent="0.2">
      <c r="A24" s="1" t="s">
        <v>396</v>
      </c>
      <c r="B24" s="1" t="s">
        <v>2715</v>
      </c>
      <c r="C24" t="s">
        <v>2713</v>
      </c>
    </row>
    <row r="25" spans="1:3" x14ac:dyDescent="0.2">
      <c r="A25" s="1" t="s">
        <v>155</v>
      </c>
      <c r="B25" s="1" t="s">
        <v>2694</v>
      </c>
      <c r="C25" t="s">
        <v>2705</v>
      </c>
    </row>
    <row r="26" spans="1:3" x14ac:dyDescent="0.2">
      <c r="A26" s="1" t="s">
        <v>170</v>
      </c>
      <c r="B26" s="1" t="s">
        <v>2694</v>
      </c>
      <c r="C26" t="s">
        <v>2705</v>
      </c>
    </row>
    <row r="27" spans="1:3" x14ac:dyDescent="0.2">
      <c r="A27" s="1" t="s">
        <v>98</v>
      </c>
      <c r="B27" s="1" t="s">
        <v>2694</v>
      </c>
      <c r="C27" t="s">
        <v>2705</v>
      </c>
    </row>
    <row r="28" spans="1:3" x14ac:dyDescent="0.2">
      <c r="A28" s="1" t="s">
        <v>2679</v>
      </c>
      <c r="B28" s="1" t="s">
        <v>2694</v>
      </c>
      <c r="C28" t="s">
        <v>2705</v>
      </c>
    </row>
    <row r="29" spans="1:3" x14ac:dyDescent="0.2">
      <c r="A29" s="1" t="s">
        <v>1617</v>
      </c>
      <c r="B29" s="1" t="s">
        <v>2694</v>
      </c>
      <c r="C29" t="s">
        <v>2705</v>
      </c>
    </row>
    <row r="30" spans="1:3" x14ac:dyDescent="0.2">
      <c r="A30" s="1" t="s">
        <v>1846</v>
      </c>
      <c r="B30" s="1" t="s">
        <v>2714</v>
      </c>
      <c r="C30" t="s">
        <v>2706</v>
      </c>
    </row>
    <row r="31" spans="1:3" x14ac:dyDescent="0.2">
      <c r="A31" s="1" t="s">
        <v>1747</v>
      </c>
      <c r="B31" s="1" t="s">
        <v>2714</v>
      </c>
      <c r="C31" t="s">
        <v>2706</v>
      </c>
    </row>
    <row r="32" spans="1:3" x14ac:dyDescent="0.2">
      <c r="A32" s="1" t="s">
        <v>1452</v>
      </c>
      <c r="B32" s="1" t="s">
        <v>2714</v>
      </c>
      <c r="C32" t="s">
        <v>2706</v>
      </c>
    </row>
    <row r="33" spans="1:3" x14ac:dyDescent="0.2">
      <c r="A33" s="1" t="s">
        <v>1778</v>
      </c>
      <c r="B33" s="1" t="s">
        <v>2714</v>
      </c>
      <c r="C33" t="s">
        <v>2706</v>
      </c>
    </row>
    <row r="34" spans="1:3" x14ac:dyDescent="0.2">
      <c r="A34" s="1" t="s">
        <v>1595</v>
      </c>
      <c r="B34" s="1" t="s">
        <v>2714</v>
      </c>
      <c r="C34" t="s">
        <v>2706</v>
      </c>
    </row>
    <row r="35" spans="1:3" x14ac:dyDescent="0.2">
      <c r="A35" s="1" t="s">
        <v>1812</v>
      </c>
      <c r="B35" s="1" t="s">
        <v>2695</v>
      </c>
      <c r="C35" t="s">
        <v>2707</v>
      </c>
    </row>
    <row r="36" spans="1:3" x14ac:dyDescent="0.2">
      <c r="A36" s="1" t="s">
        <v>748</v>
      </c>
      <c r="B36" s="1" t="s">
        <v>2695</v>
      </c>
      <c r="C36" t="s">
        <v>2707</v>
      </c>
    </row>
    <row r="37" spans="1:3" x14ac:dyDescent="0.2">
      <c r="A37" s="1" t="s">
        <v>958</v>
      </c>
      <c r="B37" s="1" t="s">
        <v>2695</v>
      </c>
      <c r="C37" t="s">
        <v>2707</v>
      </c>
    </row>
    <row r="38" spans="1:3" x14ac:dyDescent="0.2">
      <c r="A38" s="1" t="s">
        <v>2682</v>
      </c>
      <c r="B38" s="1" t="s">
        <v>2695</v>
      </c>
      <c r="C38" t="s">
        <v>2707</v>
      </c>
    </row>
    <row r="39" spans="1:3" x14ac:dyDescent="0.2">
      <c r="A39" s="1" t="s">
        <v>889</v>
      </c>
      <c r="B39" s="1" t="s">
        <v>2695</v>
      </c>
      <c r="C39" t="s">
        <v>2707</v>
      </c>
    </row>
    <row r="40" spans="1:3" x14ac:dyDescent="0.2">
      <c r="A40" s="1" t="s">
        <v>239</v>
      </c>
      <c r="B40" s="1" t="s">
        <v>2695</v>
      </c>
      <c r="C40" t="s">
        <v>2707</v>
      </c>
    </row>
    <row r="41" spans="1:3" x14ac:dyDescent="0.2">
      <c r="A41" s="1" t="s">
        <v>385</v>
      </c>
      <c r="B41" s="1" t="s">
        <v>2695</v>
      </c>
      <c r="C41" t="s">
        <v>2707</v>
      </c>
    </row>
    <row r="42" spans="1:3" x14ac:dyDescent="0.2">
      <c r="A42" s="1" t="s">
        <v>1933</v>
      </c>
      <c r="B42" s="1" t="s">
        <v>2695</v>
      </c>
      <c r="C42" t="s">
        <v>2707</v>
      </c>
    </row>
    <row r="43" spans="1:3" x14ac:dyDescent="0.2">
      <c r="A43" s="1" t="s">
        <v>357</v>
      </c>
      <c r="B43" s="1" t="s">
        <v>2695</v>
      </c>
      <c r="C43" t="s">
        <v>2707</v>
      </c>
    </row>
    <row r="44" spans="1:3" x14ac:dyDescent="0.2">
      <c r="A44" s="1" t="s">
        <v>1221</v>
      </c>
      <c r="B44" s="1" t="s">
        <v>2695</v>
      </c>
      <c r="C44" t="s">
        <v>2707</v>
      </c>
    </row>
    <row r="45" spans="1:3" x14ac:dyDescent="0.2">
      <c r="A45" s="1" t="s">
        <v>1651</v>
      </c>
      <c r="B45" s="1" t="s">
        <v>2692</v>
      </c>
      <c r="C45" t="s">
        <v>2708</v>
      </c>
    </row>
    <row r="46" spans="1:3" x14ac:dyDescent="0.2">
      <c r="A46" s="1" t="s">
        <v>809</v>
      </c>
      <c r="B46" s="1" t="s">
        <v>2692</v>
      </c>
      <c r="C46" t="s">
        <v>2708</v>
      </c>
    </row>
    <row r="47" spans="1:3" x14ac:dyDescent="0.2">
      <c r="A47" s="1" t="s">
        <v>1361</v>
      </c>
      <c r="B47" s="1" t="s">
        <v>2692</v>
      </c>
      <c r="C47" t="s">
        <v>2708</v>
      </c>
    </row>
    <row r="48" spans="1:3" x14ac:dyDescent="0.2">
      <c r="A48" s="1" t="s">
        <v>1577</v>
      </c>
      <c r="B48" s="1" t="s">
        <v>2712</v>
      </c>
      <c r="C48" t="s">
        <v>2709</v>
      </c>
    </row>
    <row r="49" spans="1:3" x14ac:dyDescent="0.2">
      <c r="A49" s="1" t="s">
        <v>1625</v>
      </c>
      <c r="B49" s="1" t="s">
        <v>2712</v>
      </c>
      <c r="C49" t="s">
        <v>2709</v>
      </c>
    </row>
    <row r="50" spans="1:3" x14ac:dyDescent="0.2">
      <c r="A50" s="1" t="s">
        <v>833</v>
      </c>
      <c r="B50" s="1" t="s">
        <v>2712</v>
      </c>
      <c r="C50" t="s">
        <v>2709</v>
      </c>
    </row>
    <row r="51" spans="1:3" x14ac:dyDescent="0.2">
      <c r="A51" s="1" t="s">
        <v>338</v>
      </c>
      <c r="B51" s="1" t="s">
        <v>2712</v>
      </c>
      <c r="C51" t="s">
        <v>2709</v>
      </c>
    </row>
    <row r="52" spans="1:3" x14ac:dyDescent="0.2">
      <c r="A52" s="1" t="s">
        <v>235</v>
      </c>
      <c r="B52" s="1" t="s">
        <v>2712</v>
      </c>
      <c r="C52" t="s">
        <v>2709</v>
      </c>
    </row>
    <row r="53" spans="1:3" x14ac:dyDescent="0.2">
      <c r="A53" s="1" t="s">
        <v>1802</v>
      </c>
      <c r="B53" s="1" t="s">
        <v>2712</v>
      </c>
      <c r="C53" t="s">
        <v>2709</v>
      </c>
    </row>
    <row r="54" spans="1:3" x14ac:dyDescent="0.2">
      <c r="A54" s="1" t="s">
        <v>723</v>
      </c>
      <c r="B54" s="1" t="s">
        <v>2712</v>
      </c>
      <c r="C54" t="s">
        <v>2709</v>
      </c>
    </row>
    <row r="55" spans="1:3" x14ac:dyDescent="0.2">
      <c r="A55" s="1" t="s">
        <v>1611</v>
      </c>
      <c r="B55" s="1" t="s">
        <v>2712</v>
      </c>
      <c r="C55" t="s">
        <v>2709</v>
      </c>
    </row>
    <row r="56" spans="1:3" x14ac:dyDescent="0.2">
      <c r="A56" s="1" t="s">
        <v>865</v>
      </c>
      <c r="B56" s="1" t="s">
        <v>2712</v>
      </c>
      <c r="C56" t="s">
        <v>2709</v>
      </c>
    </row>
    <row r="57" spans="1:3" x14ac:dyDescent="0.2">
      <c r="A57" s="1" t="s">
        <v>1857</v>
      </c>
      <c r="B57" s="1" t="s">
        <v>2712</v>
      </c>
      <c r="C57" t="s">
        <v>2709</v>
      </c>
    </row>
    <row r="58" spans="1:3" x14ac:dyDescent="0.2">
      <c r="A58" s="1" t="s">
        <v>939</v>
      </c>
      <c r="B58" s="1" t="s">
        <v>2712</v>
      </c>
      <c r="C58" t="s">
        <v>2709</v>
      </c>
    </row>
    <row r="59" spans="1:3" x14ac:dyDescent="0.2">
      <c r="A59" s="1" t="s">
        <v>870</v>
      </c>
      <c r="B59" s="1" t="s">
        <v>2712</v>
      </c>
      <c r="C59" t="s">
        <v>2709</v>
      </c>
    </row>
    <row r="60" spans="1:3" x14ac:dyDescent="0.2">
      <c r="A60" s="1" t="s">
        <v>309</v>
      </c>
      <c r="B60" s="1" t="s">
        <v>2712</v>
      </c>
      <c r="C60" t="s">
        <v>2709</v>
      </c>
    </row>
    <row r="61" spans="1:3" x14ac:dyDescent="0.2">
      <c r="A61" s="1" t="s">
        <v>1415</v>
      </c>
      <c r="B61" s="1" t="s">
        <v>2712</v>
      </c>
      <c r="C61" t="s">
        <v>2709</v>
      </c>
    </row>
    <row r="62" spans="1:3" x14ac:dyDescent="0.2">
      <c r="A62" s="1" t="s">
        <v>1878</v>
      </c>
      <c r="B62" s="1" t="s">
        <v>2712</v>
      </c>
      <c r="C62" t="s">
        <v>2709</v>
      </c>
    </row>
    <row r="63" spans="1:3" x14ac:dyDescent="0.2">
      <c r="A63" s="1" t="s">
        <v>2700</v>
      </c>
      <c r="B63" s="1" t="s">
        <v>2701</v>
      </c>
      <c r="C63" t="s">
        <v>2710</v>
      </c>
    </row>
    <row r="64" spans="1:3" x14ac:dyDescent="0.2">
      <c r="A64" s="1" t="s">
        <v>2686</v>
      </c>
      <c r="B64" s="1" t="s">
        <v>2686</v>
      </c>
      <c r="C64" t="s">
        <v>2710</v>
      </c>
    </row>
  </sheetData>
  <autoFilter ref="A1:C63" xr:uid="{2F968A94-395E-4A81-B10D-C5E2A1DD841B}">
    <sortState xmlns:xlrd2="http://schemas.microsoft.com/office/spreadsheetml/2017/richdata2" ref="A2:C64">
      <sortCondition ref="B1:B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Agrupacion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Rahman</dc:creator>
  <cp:lastModifiedBy>Ivan Rodriguez Goyena</cp:lastModifiedBy>
  <dcterms:created xsi:type="dcterms:W3CDTF">2026-03-27T22:53:39Z</dcterms:created>
  <dcterms:modified xsi:type="dcterms:W3CDTF">2026-09-30T18:43:02Z</dcterms:modified>
</cp:coreProperties>
</file>